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ables/table18.xml" ContentType="application/vnd.openxmlformats-officedocument.spreadsheetml.table+xml"/>
  <Override PartName="/xl/worksheets/sheet40.xml" ContentType="application/vnd.openxmlformats-officedocument.spreadsheetml.worksheet+xml"/>
  <Override PartName="/xl/tables/table19.xml" ContentType="application/vnd.openxmlformats-officedocument.spreadsheetml.table+xml"/>
  <Override PartName="/xl/worksheets/sheet41.xml" ContentType="application/vnd.openxmlformats-officedocument.spreadsheetml.worksheet+xml"/>
  <Override PartName="/xl/tables/table20.xml" ContentType="application/vnd.openxmlformats-officedocument.spreadsheetml.table+xml"/>
  <Override PartName="/xl/worksheets/sheet42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0960" windowHeight="1680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imeline_Events" sheetId="3" state="visible" r:id="rId3"/>
    <sheet xmlns:r="http://schemas.openxmlformats.org/officeDocument/2006/relationships" name="Body_Weight" sheetId="4" state="visible" r:id="rId4"/>
    <sheet xmlns:r="http://schemas.openxmlformats.org/officeDocument/2006/relationships" name="Targets_Metrics" sheetId="5" state="visible" r:id="rId5"/>
    <sheet xmlns:r="http://schemas.openxmlformats.org/officeDocument/2006/relationships" name="DEXA_Summary" sheetId="6" state="visible" r:id="rId6"/>
    <sheet xmlns:r="http://schemas.openxmlformats.org/officeDocument/2006/relationships" name="DEXA_Indices" sheetId="7" state="visible" r:id="rId7"/>
    <sheet xmlns:r="http://schemas.openxmlformats.org/officeDocument/2006/relationships" name="DEXA_Regions" sheetId="8" state="visible" r:id="rId8"/>
    <sheet xmlns:r="http://schemas.openxmlformats.org/officeDocument/2006/relationships" name="Strength_Tests" sheetId="9" state="visible" r:id="rId9"/>
    <sheet xmlns:r="http://schemas.openxmlformats.org/officeDocument/2006/relationships" name="Workout_Log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YMCA_Weekly Overview" sheetId="12" state="visible" r:id="rId12"/>
    <sheet xmlns:r="http://schemas.openxmlformats.org/officeDocument/2006/relationships" name="YMCA_Strength Program" sheetId="13" state="visible" r:id="rId13"/>
    <sheet xmlns:r="http://schemas.openxmlformats.org/officeDocument/2006/relationships" name="YMCA_Runs" sheetId="14" state="visible" r:id="rId14"/>
    <sheet xmlns:r="http://schemas.openxmlformats.org/officeDocument/2006/relationships" name="YMCA_Long Run Ramp" sheetId="15" state="visible" r:id="rId15"/>
    <sheet xmlns:r="http://schemas.openxmlformats.org/officeDocument/2006/relationships" name="YMCA_Muscle Coverage" sheetId="16" state="visible" r:id="rId16"/>
    <sheet xmlns:r="http://schemas.openxmlformats.org/officeDocument/2006/relationships" name="YMCA_Night Core Plan" sheetId="17" state="visible" r:id="rId17"/>
    <sheet xmlns:r="http://schemas.openxmlformats.org/officeDocument/2006/relationships" name="YMCA_Progression Log" sheetId="18" state="visible" r:id="rId18"/>
    <sheet xmlns:r="http://schemas.openxmlformats.org/officeDocument/2006/relationships" name="Body_Weight_Log_raw" sheetId="19" state="visible" r:id="rId19"/>
    <sheet xmlns:r="http://schemas.openxmlformats.org/officeDocument/2006/relationships" name="Body_Weight_Daily" sheetId="20" state="visible" r:id="rId20"/>
    <sheet xmlns:r="http://schemas.openxmlformats.org/officeDocument/2006/relationships" name="SnoreLab_By_Remedy" sheetId="21" state="visible" r:id="rId21"/>
    <sheet xmlns:r="http://schemas.openxmlformats.org/officeDocument/2006/relationships" name="SnoreLab_By_Factor" sheetId="22" state="visible" r:id="rId22"/>
    <sheet xmlns:r="http://schemas.openxmlformats.org/officeDocument/2006/relationships" name="SnoreLab_Combined" sheetId="23" state="visible" r:id="rId23"/>
    <sheet xmlns:r="http://schemas.openxmlformats.org/officeDocument/2006/relationships" name="SnoreLab_Reports_Manual" sheetId="24" state="visible" r:id="rId24"/>
    <sheet xmlns:r="http://schemas.openxmlformats.org/officeDocument/2006/relationships" name="DEXA_OCR_Parsed" sheetId="25" state="visible" r:id="rId25"/>
    <sheet xmlns:r="http://schemas.openxmlformats.org/officeDocument/2006/relationships" name="Strength_Test_OCR" sheetId="26" state="visible" r:id="rId26"/>
    <sheet xmlns:r="http://schemas.openxmlformats.org/officeDocument/2006/relationships" name="Program_MonSun_Weekly Overview" sheetId="27" state="visible" r:id="rId27"/>
    <sheet xmlns:r="http://schemas.openxmlformats.org/officeDocument/2006/relationships" name="Program_MonSun_Strength Program" sheetId="28" state="visible" r:id="rId28"/>
    <sheet xmlns:r="http://schemas.openxmlformats.org/officeDocument/2006/relationships" name="Program_MonSun_Runs" sheetId="29" state="visible" r:id="rId29"/>
    <sheet xmlns:r="http://schemas.openxmlformats.org/officeDocument/2006/relationships" name="Program_MonSun_Long Run Ramp" sheetId="30" state="visible" r:id="rId30"/>
    <sheet xmlns:r="http://schemas.openxmlformats.org/officeDocument/2006/relationships" name="Program_MonSun_Cardio Schedule" sheetId="31" state="visible" r:id="rId31"/>
    <sheet xmlns:r="http://schemas.openxmlformats.org/officeDocument/2006/relationships" name="Program_5day_Weekly Overview" sheetId="32" state="visible" r:id="rId32"/>
    <sheet xmlns:r="http://schemas.openxmlformats.org/officeDocument/2006/relationships" name="Program_5day_Strength Program" sheetId="33" state="visible" r:id="rId33"/>
    <sheet xmlns:r="http://schemas.openxmlformats.org/officeDocument/2006/relationships" name="Program_5day_Runs" sheetId="34" state="visible" r:id="rId34"/>
    <sheet xmlns:r="http://schemas.openxmlformats.org/officeDocument/2006/relationships" name="Program_5day_Long Run Ramp" sheetId="35" state="visible" r:id="rId35"/>
    <sheet xmlns:r="http://schemas.openxmlformats.org/officeDocument/2006/relationships" name="Data_Dictionary" sheetId="36" state="visible" r:id="rId36"/>
    <sheet xmlns:r="http://schemas.openxmlformats.org/officeDocument/2006/relationships" name="DEXA_DerivedMetrics" sheetId="37" state="visible" r:id="rId37"/>
    <sheet xmlns:r="http://schemas.openxmlformats.org/officeDocument/2006/relationships" name="SnoreLab_Nightly" sheetId="38" state="visible" r:id="rId38"/>
    <sheet xmlns:r="http://schemas.openxmlformats.org/officeDocument/2006/relationships" name="Nutrition_Log" sheetId="39" state="visible" r:id="rId39"/>
    <sheet xmlns:r="http://schemas.openxmlformats.org/officeDocument/2006/relationships" name="Injury_Log" sheetId="40" state="visible" r:id="rId40"/>
    <sheet xmlns:r="http://schemas.openxmlformats.org/officeDocument/2006/relationships" name="Nutrition_Daily" sheetId="41" state="visible" r:id="rId41"/>
    <sheet xmlns:r="http://schemas.openxmlformats.org/officeDocument/2006/relationships" name="Injury_Daily" sheetId="42" state="visible" r:id="rId4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yyyy\-mm\-dd\ h:mm:ss"/>
    <numFmt numFmtId="166" formatCode="0.0"/>
    <numFmt numFmtId="167" formatCode="yyyy-mm-dd"/>
  </numFmts>
  <fonts count="9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20"/>
    </font>
    <font>
      <name val="Calibri"/>
      <color rgb="FF606060"/>
      <sz val="10"/>
    </font>
    <font>
      <name val="Calibri"/>
      <b val="1"/>
      <color rgb="FF404040"/>
      <sz val="11"/>
    </font>
    <font>
      <name val="Calibri"/>
      <b val="1"/>
      <color rgb="FF000000"/>
      <sz val="16"/>
    </font>
    <font>
      <name val="Calibri"/>
      <b val="1"/>
      <color rgb="FFFFFFFF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2F6FC"/>
      </patternFill>
    </fill>
    <fill>
      <patternFill patternType="solid">
        <fgColor rgb="FF1F4E79"/>
      </patternFill>
    </fill>
    <fill>
      <patternFill patternType="solid">
        <fgColor rgb="FFE8EEF7"/>
      </patternFill>
    </fill>
    <fill>
      <patternFill patternType="solid">
        <fgColor rgb="001F2937"/>
      </patternFill>
    </fill>
    <fill>
      <patternFill patternType="solid">
        <fgColor rgb="00111827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pivotButton="0" quotePrefix="0" xfId="0"/>
    <xf numFmtId="164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166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164" fontId="5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center" vertical="center" wrapText="1"/>
    </xf>
    <xf numFmtId="0" fontId="7" fillId="7" borderId="0" pivotButton="0" quotePrefix="0" xfId="0"/>
    <xf numFmtId="0" fontId="8" fillId="0" borderId="0" pivotButton="0" quotePrefix="0" xfId="0"/>
    <xf numFmtId="166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166" fontId="8" fillId="0" borderId="0" applyAlignment="1" pivotButton="0" quotePrefix="0" xfId="0">
      <alignment horizontal="left"/>
    </xf>
    <xf numFmtId="1" fontId="8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center" vertical="center" wrapText="1"/>
    </xf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ables/table1.xml><?xml version="1.0" encoding="utf-8"?>
<table xmlns="http://schemas.openxmlformats.org/spreadsheetml/2006/main" id="1" name="ReadmeTbl" displayName="ReadmeTbl" ref="A1:B4" headerRowCount="1">
  <autoFilter ref="A1:B4"/>
  <tableColumns count="2">
    <tableColumn id="1" name="Section"/>
    <tableColumn id="2" name="Detail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EventsTbl" displayName="EventsTbl" ref="A1:D10" headerRowCount="1">
  <autoFilter ref="A1:D10"/>
  <tableColumns count="4">
    <tableColumn id="1" name="Date"/>
    <tableColumn id="2" name="Event"/>
    <tableColumn id="3" name="Source"/>
    <tableColumn id="4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WeightTbl" displayName="WeightTbl" ref="A1:E4" headerRowCount="1">
  <autoFilter ref="A1:E4"/>
  <tableColumns count="5">
    <tableColumn id="1" name="Date"/>
    <tableColumn id="2" name="Weight (lb)"/>
    <tableColumn id="3" name="Source"/>
    <tableColumn id="4" name="Notes"/>
    <tableColumn id="5" name="Weight (kg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rgetsTbl" displayName="TargetsTbl" ref="A1:F4" headerRowCount="1">
  <autoFilter ref="A1:F4"/>
  <tableColumns count="6">
    <tableColumn id="1" name="Date"/>
    <tableColumn id="2" name="Metric"/>
    <tableColumn id="3" name="Value"/>
    <tableColumn id="4" name="Units"/>
    <tableColumn id="5" name="Source"/>
    <tableColumn id="6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DexaSumTbl" displayName="DexaSumTbl" ref="A1:I4" headerRowCount="1">
  <autoFilter ref="A1:I4"/>
  <tableColumns count="9">
    <tableColumn id="1" name="Scan date"/>
    <tableColumn id="2" name="Source"/>
    <tableColumn id="3" name="Total mass (kg)"/>
    <tableColumn id="4" name="Fat mass (kg)"/>
    <tableColumn id="5" name="Lean+BMC (kg)"/>
    <tableColumn id="6" name="BMC (kg)"/>
    <tableColumn id="7" name="% fat"/>
    <tableColumn id="8" name="Notes"/>
    <tableColumn id="9" name="Lean mass (kg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DexaIdxTbl" displayName="DexaIdxTbl" ref="A1:K2" headerRowCount="1">
  <autoFilter ref="A1:K2"/>
  <tableColumns count="11">
    <tableColumn id="1" name="Scan date"/>
    <tableColumn id="2" name="Total body % fat"/>
    <tableColumn id="3" name="Fat mass/height^2 (kg/m^2)"/>
    <tableColumn id="4" name="Android/Gynoid ratio"/>
    <tableColumn id="5" name="%fat trunk / %fat legs"/>
    <tableColumn id="6" name="Trunk/limb fat mass ratio"/>
    <tableColumn id="7" name="Estimated VAT mass (g)"/>
    <tableColumn id="8" name="Estimated VAT volume (cm^3)"/>
    <tableColumn id="9" name="Estimated VAT area (cm^2)"/>
    <tableColumn id="10" name="Lean/height^2 (kg/m^2)"/>
    <tableColumn id="11" name="Appendicular lean/height^2 (kg/m^2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DexaRegTbl" displayName="DexaRegTbl" ref="A1:J19" headerRowCount="1">
  <autoFilter ref="A1:J19"/>
  <tableColumns count="10">
    <tableColumn id="1" name="Scan date"/>
    <tableColumn id="2" name="Region"/>
    <tableColumn id="3" name="fat_kg"/>
    <tableColumn id="4" name="lean_kg"/>
    <tableColumn id="5" name="bmc_kg"/>
    <tableColumn id="6" name="leanplus_bmc_kg"/>
    <tableColumn id="7" name="total_kg"/>
    <tableColumn id="8" name="% fat"/>
    <tableColumn id="9" name="%ile (young normal)"/>
    <tableColumn id="10" name="%ile (age matched)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StrengthTbl" displayName="StrengthTbl" ref="A1:G8" headerRowCount="1">
  <autoFilter ref="A1:G8"/>
  <tableColumns count="7">
    <tableColumn id="1" name="Date"/>
    <tableColumn id="2" name="Exercise"/>
    <tableColumn id="3" name="Reps"/>
    <tableColumn id="4" name="Load (lb)"/>
    <tableColumn id="5" name="Source"/>
    <tableColumn id="6" name="Notes"/>
    <tableColumn id="7" name="Estimated 1RM (lb)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WorkoutsTbl" displayName="WorkoutsTbl" ref="A1:G11" headerRowCount="1">
  <autoFilter ref="A1:G11"/>
  <tableColumns count="7">
    <tableColumn id="1" name="Date"/>
    <tableColumn id="2" name="Exercise"/>
    <tableColumn id="3" name="Sets"/>
    <tableColumn id="4" name="Reps"/>
    <tableColumn id="5" name="Load (lb)"/>
    <tableColumn id="6" name="Source"/>
    <tableColumn id="7" name="Not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SourcesTbl" displayName="SourcesTbl" ref="A1:B10" headerRowCount="1">
  <autoFilter ref="A1:B10"/>
  <tableColumns count="2">
    <tableColumn id="1" name="Artifact"/>
    <tableColumn id="2" name="Path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YMCAWeeklyOverviewTbl" displayName="YMCAWeeklyOverviewTbl" ref="A1:D7" headerRowCount="1">
  <autoFilter ref="A1:D7"/>
  <tableColumns count="4">
    <tableColumn id="1" name="Col1"/>
    <tableColumn id="2" name="Col2"/>
    <tableColumn id="3" name="Col3"/>
    <tableColumn id="4" name="Col4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YMCAStrengthProgramTbl" displayName="YMCAStrengthProgramTbl" ref="A1:K25" headerRowCount="1">
  <autoFilter ref="A1:K25"/>
  <tableColumns count="11">
    <tableColumn id="1" name="Col1"/>
    <tableColumn id="2" name="Col2"/>
    <tableColumn id="3" name="Col3"/>
    <tableColumn id="4" name="Col4"/>
    <tableColumn id="5" name="Col5"/>
    <tableColumn id="6" name="Col6"/>
    <tableColumn id="7" name="Col7"/>
    <tableColumn id="8" name="Col8"/>
    <tableColumn id="9" name="Col9"/>
    <tableColumn id="10" name="Col10"/>
    <tableColumn id="11" name="Col1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YMCARunsTbl" displayName="YMCARunsTbl" ref="A1:E5" headerRowCount="1">
  <autoFilter ref="A1:E5"/>
  <tableColumns count="5">
    <tableColumn id="1" name="Col1"/>
    <tableColumn id="2" name="Col2"/>
    <tableColumn id="3" name="Col3"/>
    <tableColumn id="4" name="Col4"/>
    <tableColumn id="5" name="Col5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YMCALongRunRampTbl" displayName="YMCALongRunRampTbl" ref="A1:B14" headerRowCount="1">
  <autoFilter ref="A1:B14"/>
  <tableColumns count="2">
    <tableColumn id="1" name="Col1"/>
    <tableColumn id="2" name="Col2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YMCAMuscleCoverageTbl" displayName="YMCAMuscleCoverageTbl" ref="A1:C12" headerRowCount="1">
  <autoFilter ref="A1:C12"/>
  <tableColumns count="3">
    <tableColumn id="1" name="Col1"/>
    <tableColumn id="2" name="Col2"/>
    <tableColumn id="3" name="Col3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YMCANightCorePlanTbl" displayName="YMCANightCorePlanTbl" ref="A1:D8" headerRowCount="1">
  <autoFilter ref="A1:D8"/>
  <tableColumns count="4">
    <tableColumn id="1" name="Col1"/>
    <tableColumn id="2" name="Col2"/>
    <tableColumn id="3" name="Col3"/>
    <tableColumn id="4" name="Col4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YMCAProgressionLogTbl" displayName="YMCAProgressionLogTbl" ref="A1:G2" headerRowCount="1">
  <autoFilter ref="A1:G2"/>
  <tableColumns count="7">
    <tableColumn id="1" name="Col1"/>
    <tableColumn id="2" name="Col2"/>
    <tableColumn id="3" name="Col3"/>
    <tableColumn id="4" name="Col4"/>
    <tableColumn id="5" name="Col5"/>
    <tableColumn id="6" name="Col6"/>
    <tableColumn id="7" name="Col7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blNutrition" displayName="tblNutrition" ref="A1:G200" headerRowCount="1">
  <autoFilter ref="A1:G200"/>
  <tableColumns count="7">
    <tableColumn id="1" name="date"/>
    <tableColumn id="2" name="meal"/>
    <tableColumn id="3" name="item"/>
    <tableColumn id="4" name="calories"/>
    <tableColumn id="5" name="protein_g"/>
    <tableColumn id="6" name="notes"/>
    <tableColumn id="7" name="source"/>
  </tableColumns>
  <tableStyleInfo name="TableStyleMedium9" showRowStripes="1" showColumnStripes="0"/>
</table>
</file>

<file path=xl/tables/table19.xml><?xml version="1.0" encoding="utf-8"?>
<table xmlns="http://schemas.openxmlformats.org/spreadsheetml/2006/main" id="19" name="tblInjuries" displayName="tblInjuries" ref="A1:L200" headerRowCount="1">
  <autoFilter ref="A1:L200"/>
  <tableColumns count="12">
    <tableColumn id="1" name="start_date"/>
    <tableColumn id="2" name="end_date"/>
    <tableColumn id="3" name="body_part"/>
    <tableColumn id="4" name="side"/>
    <tableColumn id="5" name="injury"/>
    <tableColumn id="6" name="severity_0_10"/>
    <tableColumn id="7" name="pain_0_10"/>
    <tableColumn id="8" name="function_limit_0_10"/>
    <tableColumn id="9" name="status"/>
    <tableColumn id="10" name="rehab_action"/>
    <tableColumn id="11" name="notes"/>
    <tableColumn id="12" name="source"/>
  </tableColumns>
  <tableStyleInfo name="TableStyleMedium9" showRowStripes="1" showColumnStripes="0"/>
</table>
</file>

<file path=xl/tables/table20.xml><?xml version="1.0" encoding="utf-8"?>
<table xmlns="http://schemas.openxmlformats.org/spreadsheetml/2006/main" id="20" name="tblNutritionDaily" displayName="tblNutritionDaily" ref="A1:C4" headerRowCount="1">
  <autoFilter ref="A1:C4"/>
  <tableColumns count="3">
    <tableColumn id="1" name="date"/>
    <tableColumn id="2" name="total_calories"/>
    <tableColumn id="3" name="total_protein_g"/>
  </tableColumns>
  <tableStyleInfo name="TableStyleMedium9" showRowStripes="1" showColumnStripes="0"/>
</table>
</file>

<file path=xl/tables/table21.xml><?xml version="1.0" encoding="utf-8"?>
<table xmlns="http://schemas.openxmlformats.org/spreadsheetml/2006/main" id="21" name="tblInjuryDaily" displayName="tblInjuryDaily" ref="A1:E4" headerRowCount="1">
  <autoFilter ref="A1:E4"/>
  <tableColumns count="5">
    <tableColumn id="1" name="date"/>
    <tableColumn id="2" name="active_injury_count"/>
    <tableColumn id="3" name="max_pain"/>
    <tableColumn id="4" name="max_severity"/>
    <tableColumn id="5" name="max_function_limi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9"/>
  <sheetViews>
    <sheetView tabSelected="1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15" min="1" max="1"/>
    <col width="18" customWidth="1" style="15" min="2" max="7"/>
    <col width="2" customWidth="1" style="15" min="8" max="8"/>
    <col width="20" customWidth="1" style="15" min="9" max="9"/>
    <col width="12" customWidth="1" style="15" min="10" max="11"/>
    <col width="14" customWidth="1" style="15" min="12" max="13"/>
  </cols>
  <sheetData>
    <row r="1" ht="18" customHeight="1" s="15"/>
    <row r="2" ht="18" customHeight="1" s="15">
      <c r="B2" s="14" t="inlineStr">
        <is>
          <t>Fitness Progress Dashboard</t>
        </is>
      </c>
    </row>
    <row r="3" ht="18" customHeight="1" s="15">
      <c r="B3" s="22" t="inlineStr">
        <is>
          <t>Updates when you append rows to: Body_Weight, DEXA_Summary, Strength_Tests, Workout_Log.</t>
        </is>
      </c>
    </row>
    <row r="4" ht="18" customHeight="1" s="15"/>
    <row r="5" ht="18" customHeight="1" s="15">
      <c r="B5" s="16" t="inlineStr">
        <is>
          <t>Latest weight (lb)</t>
        </is>
      </c>
      <c r="C5" s="17" t="n"/>
      <c r="D5" s="16" t="inlineStr">
        <is>
          <t>Weight change (lb, last 30d)</t>
        </is>
      </c>
      <c r="E5" s="17" t="n"/>
      <c r="F5" s="16" t="inlineStr">
        <is>
          <t>Latest DEXA % fat</t>
        </is>
      </c>
      <c r="G5" s="17" t="n"/>
    </row>
    <row r="6" ht="18" customHeight="1" s="15">
      <c r="B6" s="18">
        <f>_xludf.LET(d,Body_Weight!A:A,w,Body_Weight!B:B, _xludf.XLOOKUP(MAX(d), d, w))</f>
        <v/>
      </c>
      <c r="C6" s="17" t="n"/>
      <c r="D6" s="18">
        <f>_xludf.LET(d,Body_Weight!A:A,w,Body_Weight!B:B,latest,MAX(d),w0, _xludf.XLOOKUP(latest-30, d, w, , 1), W1, _xludf.XLOOKUP(latest, d, w), IFERROR(W1-w0, ""))</f>
        <v/>
      </c>
      <c r="E6" s="17" t="n"/>
      <c r="F6" s="18">
        <f>_xludf.LET(d,DEXA_Summary!A:A,p,DEXA_Summary!G:G, _xludf.XLOOKUP(MAX(d), d, p))</f>
        <v/>
      </c>
      <c r="G6" s="17" t="n"/>
    </row>
    <row r="7" ht="18" customHeight="1" s="15">
      <c r="B7" s="16" t="inlineStr">
        <is>
          <t>Latest DEXA lean mass (kg)</t>
        </is>
      </c>
      <c r="C7" s="17" t="n"/>
      <c r="D7" s="16" t="inlineStr">
        <is>
          <t>Logged strength sessions (last 30d)</t>
        </is>
      </c>
      <c r="E7" s="17" t="n"/>
      <c r="F7" s="16" t="inlineStr">
        <is>
          <t>Latest strength test date</t>
        </is>
      </c>
      <c r="G7" s="17" t="n"/>
    </row>
    <row r="8" ht="18" customHeight="1" s="15">
      <c r="B8" s="18">
        <f>_xludf.LET(d,DEXA_Summary!A:A,l,DEXA_Summary!I:I, _xludf.XLOOKUP(MAX(d), d, l))</f>
        <v/>
      </c>
      <c r="C8" s="17" t="n"/>
      <c r="D8" s="23" t="n"/>
      <c r="E8" s="17" t="n"/>
      <c r="F8" s="21">
        <f>_xludf.LET(d,Strength_Tests!A:A, MAX(d))</f>
        <v/>
      </c>
      <c r="G8" s="17" t="n"/>
    </row>
    <row r="9" ht="18" customHeight="1" s="15"/>
    <row r="10" ht="18" customHeight="1" s="15">
      <c r="B10" s="19" t="inlineStr">
        <is>
          <t>Weight (last 12 months)</t>
        </is>
      </c>
      <c r="C10" s="20" t="n"/>
      <c r="D10" s="20" t="n"/>
      <c r="E10" s="20" t="n"/>
      <c r="F10" s="20" t="n"/>
      <c r="G10" s="17" t="n"/>
      <c r="I10" s="19" t="inlineStr">
        <is>
          <t>Strength (estimated 1RM, latest test)</t>
        </is>
      </c>
      <c r="J10" s="20" t="n"/>
      <c r="K10" s="20" t="n"/>
      <c r="L10" s="20" t="n"/>
      <c r="M10" s="17" t="n"/>
    </row>
    <row r="11" ht="18" customHeight="1" s="15">
      <c r="B11" s="6" t="inlineStr">
        <is>
          <t>Date</t>
        </is>
      </c>
      <c r="C11" s="6" t="inlineStr">
        <is>
          <t>Weight (lb)</t>
        </is>
      </c>
      <c r="I11" s="6" t="inlineStr">
        <is>
          <t>Exercise</t>
        </is>
      </c>
      <c r="J11" s="6" t="inlineStr">
        <is>
          <t>Reps</t>
        </is>
      </c>
      <c r="K11" s="6" t="inlineStr">
        <is>
          <t>Load (lb)</t>
        </is>
      </c>
      <c r="L11" s="6" t="inlineStr">
        <is>
          <t>e1RM (Epley)</t>
        </is>
      </c>
      <c r="M11" s="6" t="inlineStr">
        <is>
          <t>Date</t>
        </is>
      </c>
    </row>
    <row r="12" ht="18" customHeight="1" s="15">
      <c r="B12" s="7" t="n">
        <v>46054</v>
      </c>
      <c r="C12" s="8" t="n">
        <v>158.5</v>
      </c>
      <c r="I12" s="9" t="inlineStr">
        <is>
          <t>Leg press (seated) e1RM entry</t>
        </is>
      </c>
      <c r="J12" s="10" t="n">
        <v>6</v>
      </c>
      <c r="K12" s="11" t="n">
        <v>260</v>
      </c>
      <c r="L12" s="11" t="n">
        <v>312</v>
      </c>
      <c r="M12" s="7" t="n">
        <v>46056</v>
      </c>
    </row>
    <row r="13" ht="18" customHeight="1" s="15">
      <c r="B13" s="7" t="n">
        <v>46056</v>
      </c>
      <c r="C13" s="8" t="n">
        <v>160.9</v>
      </c>
      <c r="I13" s="9" t="inlineStr">
        <is>
          <t>Leg press</t>
        </is>
      </c>
      <c r="J13" s="10" t="n">
        <v>8</v>
      </c>
      <c r="K13" s="11" t="n">
        <v>240</v>
      </c>
      <c r="L13" s="11" t="n">
        <v>304</v>
      </c>
      <c r="M13" s="7" t="n">
        <v>46056</v>
      </c>
    </row>
    <row r="14" ht="18" customHeight="1" s="15">
      <c r="I14" s="9" t="inlineStr">
        <is>
          <t>Cable row</t>
        </is>
      </c>
      <c r="J14" s="10" t="n">
        <v>20</v>
      </c>
      <c r="K14" s="11" t="n">
        <v>85</v>
      </c>
      <c r="L14" s="11" t="n">
        <v>141.6666666666667</v>
      </c>
      <c r="M14" s="7" t="n">
        <v>46056</v>
      </c>
    </row>
    <row r="15" ht="18" customHeight="1" s="15">
      <c r="I15" s="9" t="inlineStr">
        <is>
          <t>Leg extension</t>
        </is>
      </c>
      <c r="J15" s="10" t="n">
        <v>8</v>
      </c>
      <c r="K15" s="11" t="n">
        <v>110</v>
      </c>
      <c r="L15" s="11" t="n">
        <v>139.3333333333333</v>
      </c>
      <c r="M15" s="7" t="n">
        <v>46056</v>
      </c>
    </row>
    <row r="16" ht="18" customHeight="1" s="15">
      <c r="I16" s="9" t="inlineStr">
        <is>
          <t>Chest press</t>
        </is>
      </c>
      <c r="J16" s="10" t="n">
        <v>8</v>
      </c>
      <c r="K16" s="11" t="n">
        <v>105</v>
      </c>
      <c r="L16" s="11" t="n">
        <v>133</v>
      </c>
      <c r="M16" s="7" t="n">
        <v>46056</v>
      </c>
    </row>
    <row r="17" ht="18" customHeight="1" s="15">
      <c r="I17" s="9" t="inlineStr">
        <is>
          <t>Leg curl</t>
        </is>
      </c>
      <c r="J17" s="10" t="n">
        <v>8</v>
      </c>
      <c r="K17" s="11" t="n">
        <v>90</v>
      </c>
      <c r="L17" s="11" t="n">
        <v>114</v>
      </c>
      <c r="M17" s="7" t="n">
        <v>46056</v>
      </c>
    </row>
    <row r="18" ht="18" customHeight="1" s="15">
      <c r="I18" s="9" t="inlineStr">
        <is>
          <t>Biceps curl (barbell)</t>
        </is>
      </c>
      <c r="J18" s="10" t="n">
        <v>30</v>
      </c>
      <c r="K18" s="11" t="n">
        <v>40</v>
      </c>
      <c r="L18" s="11" t="n">
        <v>80</v>
      </c>
      <c r="M18" s="7" t="n">
        <v>46056</v>
      </c>
    </row>
    <row r="19" ht="18" customHeight="1" s="15"/>
    <row r="20" ht="18" customHeight="1" s="15"/>
    <row r="21" ht="18" customHeight="1" s="15"/>
    <row r="22" ht="18" customHeight="1" s="15"/>
    <row r="23" ht="18" customHeight="1" s="15"/>
    <row r="24" ht="18" customHeight="1" s="15"/>
    <row r="25" ht="18" customHeight="1" s="15"/>
    <row r="26" ht="18" customHeight="1" s="15"/>
    <row r="27" ht="18" customHeight="1" s="15"/>
    <row r="28" ht="18" customHeight="1" s="15"/>
    <row r="29" ht="18" customHeight="1" s="15"/>
    <row r="30" ht="18" customHeight="1" s="15">
      <c r="B30" s="19" t="inlineStr">
        <is>
          <t>DEXA (body composition)</t>
        </is>
      </c>
      <c r="C30" s="20" t="n"/>
      <c r="D30" s="20" t="n"/>
      <c r="E30" s="20" t="n"/>
      <c r="F30" s="20" t="n"/>
      <c r="G30" s="17" t="n"/>
    </row>
    <row r="31" ht="18" customHeight="1" s="15">
      <c r="B31" s="6" t="inlineStr">
        <is>
          <t>Scan date</t>
        </is>
      </c>
      <c r="C31" s="6" t="inlineStr">
        <is>
          <t>% fat</t>
        </is>
      </c>
      <c r="D31" s="6" t="inlineStr">
        <is>
          <t>Lean mass (kg)</t>
        </is>
      </c>
    </row>
    <row r="32" ht="18" customHeight="1" s="15">
      <c r="B32" s="7" t="n">
        <v>45895</v>
      </c>
      <c r="C32" s="8" t="n">
        <v>33.9</v>
      </c>
      <c r="D32" s="8" t="n">
        <v>49.7845</v>
      </c>
    </row>
    <row r="33" ht="18" customHeight="1" s="15">
      <c r="B33" s="7" t="n">
        <v>45980</v>
      </c>
      <c r="C33" s="8" t="n">
        <v>31.4</v>
      </c>
      <c r="D33" s="8" t="n">
        <v>49.4696</v>
      </c>
    </row>
    <row r="34" ht="18" customHeight="1" s="15">
      <c r="B34" s="7" t="n">
        <v>46036</v>
      </c>
      <c r="C34" s="8" t="n">
        <v>29.8</v>
      </c>
      <c r="D34" s="8" t="n">
        <v>48.939</v>
      </c>
    </row>
    <row r="35" ht="18" customHeight="1" s="15">
      <c r="B35" s="24" t="inlineStr">
        <is>
          <t>Nutrition &amp; Injury (entered manually)</t>
        </is>
      </c>
    </row>
    <row r="36" ht="18" customHeight="1" s="15"/>
    <row r="37" ht="18" customHeight="1" s="15">
      <c r="B37" s="25" t="inlineStr">
        <is>
          <t>Avg calories (last 7d)</t>
        </is>
      </c>
      <c r="D37" s="25" t="inlineStr">
        <is>
          <t>Avg protein g (last 7d)</t>
        </is>
      </c>
      <c r="F37" s="25" t="inlineStr">
        <is>
          <t>Active injuries (today)</t>
        </is>
      </c>
      <c r="H37" s="25" t="inlineStr">
        <is>
          <t>Max pain (today)</t>
        </is>
      </c>
    </row>
    <row r="38" ht="18" customHeight="1" s="15">
      <c r="B38" s="26">
        <f>LET(d,tblNutritionDaily[date],c,tblNutritionDaily[total_calories],latest,MAX(d),AVERAGEIFS(c,d,"&gt;="&amp;latest-6,d,"&lt;="&amp;latest))</f>
        <v/>
      </c>
      <c r="D38" s="26">
        <f>LET(d,tblNutritionDaily[date],p,tblNutritionDaily[total_protein_g],latest,MAX(d),AVERAGEIFS(p,d,"&gt;="&amp;latest-6,d,"&lt;="&amp;latest))</f>
        <v/>
      </c>
      <c r="F38" s="27">
        <f>LET(d,tblInjuryDaily[date],a,tblInjuryDaily[active_injury_count],_xludf.XLOOKUP(MAX(d),d,a))</f>
        <v/>
      </c>
      <c r="H38" s="27">
        <f>LET(d,tblInjuryDaily[date],p,tblInjuryDaily[max_pain],_xludf.XLOOKUP(MAX(d),d,p))</f>
        <v/>
      </c>
    </row>
    <row r="39" ht="18" customHeight="1" s="15">
      <c r="B39" s="28" t="inlineStr">
        <is>
          <t>Last nutrition date</t>
        </is>
      </c>
      <c r="D39" s="28" t="inlineStr">
        <is>
          <t>Total calories (last 30d)</t>
        </is>
      </c>
      <c r="F39" s="29" t="inlineStr">
        <is>
          <t>Days since last injury start</t>
        </is>
      </c>
      <c r="H39" s="29" t="inlineStr">
        <is>
          <t>Last injury body part</t>
        </is>
      </c>
    </row>
    <row r="40" ht="18" customHeight="1" s="15">
      <c r="B40" s="26">
        <f>LET(d,tblNutrition[date],MAX(d))</f>
        <v/>
      </c>
      <c r="D40" s="26">
        <f>LET(d,tblNutritionDaily[date],c,tblNutritionDaily[total_calories],latest,MAX(d),SUMIFS(c,d,"&gt;="&amp;latest-29,d,"&lt;="&amp;latest))</f>
        <v/>
      </c>
      <c r="F40" s="27">
        <f>LET(s,tblInjuries[start_date],MAX(s),TODAY()-MAX(s))</f>
        <v/>
      </c>
      <c r="H40" s="27">
        <f>LET(s,tblInjuries[start_date],bp,tblInjuries[body_part],_xludf.XLOOKUP(MAX(s),s,bp))</f>
        <v/>
      </c>
    </row>
    <row r="41" ht="18" customHeight="1" s="15">
      <c r="B41" s="26" t="n"/>
      <c r="D41" s="26" t="n"/>
      <c r="F41" s="27" t="n"/>
      <c r="H41" s="27" t="n"/>
    </row>
    <row r="42" ht="18" customHeight="1" s="15"/>
    <row r="43" ht="18" customHeight="1" s="15"/>
    <row r="44" ht="18" customHeight="1" s="15"/>
    <row r="45" ht="18" customHeight="1" s="15"/>
    <row r="46" ht="18" customHeight="1" s="15"/>
    <row r="47" ht="18" customHeight="1" s="15"/>
    <row r="48" ht="18" customHeight="1" s="15"/>
    <row r="49" ht="18" customHeight="1" s="15"/>
    <row r="50" ht="18" customHeight="1" s="15"/>
    <row r="51" ht="18" customHeight="1" s="15"/>
    <row r="52" ht="18" customHeight="1" s="15">
      <c r="B52" s="19" t="inlineStr">
        <is>
          <t>Plan vs actual strength sessions (weekly)</t>
        </is>
      </c>
      <c r="C52" s="20" t="n"/>
      <c r="D52" s="20" t="n"/>
      <c r="E52" s="20" t="n"/>
      <c r="F52" s="20" t="n"/>
      <c r="G52" s="17" t="n"/>
    </row>
    <row r="53" ht="18" customHeight="1" s="15">
      <c r="B53" s="12" t="inlineStr">
        <is>
          <t>Week start (Mon)</t>
        </is>
      </c>
      <c r="C53" s="12" t="inlineStr">
        <is>
          <t>Planned sessions</t>
        </is>
      </c>
      <c r="D53" s="12" t="inlineStr">
        <is>
          <t>Logged sessions</t>
        </is>
      </c>
      <c r="F53" s="12" t="inlineStr">
        <is>
          <t>Planned/wk</t>
        </is>
      </c>
      <c r="G53" s="13" t="n">
        <v>5</v>
      </c>
    </row>
    <row r="54" ht="18" customHeight="1" s="15">
      <c r="B54" s="7" t="n">
        <v>45887</v>
      </c>
      <c r="C54" s="10">
        <f>$G$53</f>
        <v/>
      </c>
      <c r="D54" s="10" t="n">
        <v>0</v>
      </c>
    </row>
    <row r="55" ht="18" customHeight="1" s="15">
      <c r="B55" s="7" t="n">
        <v>45894</v>
      </c>
      <c r="C55" s="10">
        <f>$G$53</f>
        <v/>
      </c>
      <c r="D55" s="10" t="n">
        <v>0</v>
      </c>
    </row>
    <row r="56" ht="18" customHeight="1" s="15">
      <c r="B56" s="7" t="n">
        <v>45901</v>
      </c>
      <c r="C56" s="10">
        <f>$G$53</f>
        <v/>
      </c>
      <c r="D56" s="10" t="n">
        <v>0</v>
      </c>
    </row>
    <row r="57" ht="18" customHeight="1" s="15">
      <c r="B57" s="7" t="n">
        <v>45908</v>
      </c>
      <c r="C57" s="10">
        <f>$G$53</f>
        <v/>
      </c>
      <c r="D57" s="10" t="n">
        <v>0</v>
      </c>
    </row>
    <row r="58" ht="18" customHeight="1" s="15">
      <c r="B58" s="7" t="n">
        <v>45915</v>
      </c>
      <c r="C58" s="10">
        <f>$G$53</f>
        <v/>
      </c>
      <c r="D58" s="10" t="n">
        <v>0</v>
      </c>
    </row>
    <row r="59" ht="18" customHeight="1" s="15">
      <c r="B59" s="7" t="n">
        <v>45922</v>
      </c>
      <c r="C59" s="10">
        <f>$G$53</f>
        <v/>
      </c>
      <c r="D59" s="10" t="n">
        <v>0</v>
      </c>
    </row>
    <row r="60" ht="18" customHeight="1" s="15">
      <c r="B60" s="7" t="n">
        <v>45929</v>
      </c>
      <c r="C60" s="10">
        <f>$G$53</f>
        <v/>
      </c>
      <c r="D60" s="10" t="n">
        <v>0</v>
      </c>
    </row>
    <row r="61" ht="18" customHeight="1" s="15">
      <c r="B61" s="7" t="n">
        <v>45936</v>
      </c>
      <c r="C61" s="10">
        <f>$G$53</f>
        <v/>
      </c>
      <c r="D61" s="10" t="n">
        <v>0</v>
      </c>
    </row>
    <row r="62" ht="18" customHeight="1" s="15">
      <c r="B62" s="7" t="n">
        <v>45943</v>
      </c>
      <c r="C62" s="10">
        <f>$G$53</f>
        <v/>
      </c>
      <c r="D62" s="10" t="n">
        <v>0</v>
      </c>
    </row>
    <row r="63" ht="18" customHeight="1" s="15">
      <c r="B63" s="7" t="n">
        <v>45950</v>
      </c>
      <c r="C63" s="10">
        <f>$G$53</f>
        <v/>
      </c>
      <c r="D63" s="10" t="n">
        <v>0</v>
      </c>
    </row>
    <row r="64" ht="18" customHeight="1" s="15">
      <c r="B64" s="7" t="n">
        <v>45957</v>
      </c>
      <c r="C64" s="10">
        <f>$G$53</f>
        <v/>
      </c>
      <c r="D64" s="10" t="n">
        <v>0</v>
      </c>
    </row>
    <row r="65" ht="18" customHeight="1" s="15">
      <c r="B65" s="7" t="n">
        <v>45964</v>
      </c>
      <c r="C65" s="10">
        <f>$G$53</f>
        <v/>
      </c>
      <c r="D65" s="10" t="n">
        <v>1</v>
      </c>
    </row>
    <row r="66" ht="18" customHeight="1" s="15"/>
    <row r="67" ht="18" customHeight="1" s="15"/>
    <row r="68" ht="18" customHeight="1" s="15">
      <c r="B68" s="22" t="inlineStr">
        <is>
          <t>Notes: Weight chart uses the most recent 12 months of entries. Strength uses Epley e1RM (Load × (1 + Reps/30)). DEXA uses DEXA_Summary. KPI tiles use modern Excel functions (LET, XLOOKUP, FILTER).</t>
        </is>
      </c>
    </row>
    <row r="69" ht="18" customHeight="1" s="15"/>
  </sheetData>
  <mergeCells count="20">
    <mergeCell ref="B2:G2"/>
    <mergeCell ref="B7:C7"/>
    <mergeCell ref="F6:G6"/>
    <mergeCell ref="F7:G7"/>
    <mergeCell ref="D6:E6"/>
    <mergeCell ref="B10:G10"/>
    <mergeCell ref="B35:H35"/>
    <mergeCell ref="F5:G5"/>
    <mergeCell ref="B30:G30"/>
    <mergeCell ref="B8:C8"/>
    <mergeCell ref="F8:G8"/>
    <mergeCell ref="D7:E7"/>
    <mergeCell ref="D8:E8"/>
    <mergeCell ref="B3:G3"/>
    <mergeCell ref="B6:C6"/>
    <mergeCell ref="B68:M69"/>
    <mergeCell ref="B5:C5"/>
    <mergeCell ref="D5:E5"/>
    <mergeCell ref="I10:M10"/>
    <mergeCell ref="B52:G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style="15" min="1" max="1"/>
    <col width="48" customWidth="1" style="15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 ht="60" customHeight="1" s="15">
      <c r="A2" s="2" t="inlineStr">
        <is>
          <t>What this file is</t>
        </is>
      </c>
      <c r="B2" s="2" t="inlineStr">
        <is>
          <t>A single Excel workbook that consolidates key dated metrics from your chats and uploaded documents (DEXA scans, strength test notes, YMCA program).</t>
        </is>
      </c>
    </row>
    <row r="3" ht="75" customHeight="1" s="15">
      <c r="A3" s="2" t="inlineStr">
        <is>
          <t>How to use</t>
        </is>
      </c>
      <c r="B3" s="2" t="inlineStr">
        <is>
          <t>Use filters on each sheet. 'DEXA_Summary' is the quickest overview. 'DEXA_Regions' holds region breakdowns. 'Strength_Tests' and 'Workout_Log' capture loads/reps when available. 'Sources' points back to original artifacts.</t>
        </is>
      </c>
    </row>
    <row r="4" ht="75" customHeight="1" s="15">
      <c r="A4" s="2" t="inlineStr">
        <is>
          <t>Caveats</t>
        </is>
      </c>
      <c r="B4" s="2" t="inlineStr">
        <is>
          <t>Some values were extracted via OCR. Where OCR was incomplete (Aug 2025 DEXA fat mass), cells are left blank and a note is included. Month-only dates from chat are stored as the 1st of that month for sorting.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48" customWidth="1" style="15" min="2" max="2"/>
    <col width="45" customWidth="1" style="15" min="3" max="3"/>
    <col width="48" customWidth="1" style="15" min="4" max="4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Source</t>
        </is>
      </c>
      <c r="D1" s="1" t="inlineStr">
        <is>
          <t>Notes</t>
        </is>
      </c>
    </row>
    <row r="2" ht="30" customHeight="1" s="15">
      <c r="A2" s="3" t="n">
        <v>45597</v>
      </c>
      <c r="B2" s="2" t="inlineStr">
        <is>
          <t>Started running (per podiatry note: began running Nov 2024, several miles/day).</t>
        </is>
      </c>
      <c r="C2" s="2" t="inlineStr">
        <is>
          <t>Podiatry note pasted in chat</t>
        </is>
      </c>
      <c r="D2" s="2" t="inlineStr">
        <is>
          <t>Set to 1st of month for sorting; exact day not specified.</t>
        </is>
      </c>
    </row>
    <row r="3">
      <c r="A3" s="3" t="n">
        <v>45627</v>
      </c>
      <c r="B3" s="2" t="inlineStr">
        <is>
          <t>Weight 233 lb (start point referenced in chat).</t>
        </is>
      </c>
      <c r="C3" s="2" t="inlineStr">
        <is>
          <t>Chat message</t>
        </is>
      </c>
      <c r="D3" s="2" t="inlineStr">
        <is>
          <t>Month-only.</t>
        </is>
      </c>
    </row>
    <row r="4">
      <c r="A4" s="3" t="n">
        <v>45895</v>
      </c>
      <c r="B4" s="2" t="inlineStr">
        <is>
          <t>Whole-body DEXA scan (ISU).</t>
        </is>
      </c>
      <c r="C4" s="2" t="inlineStr">
        <is>
          <t>AGVG_DexaScan Sept 25.pdf</t>
        </is>
      </c>
      <c r="D4" s="2" t="inlineStr">
        <is>
          <t>Scan date on report: Aug 26, 2025.</t>
        </is>
      </c>
    </row>
    <row r="5">
      <c r="A5" s="3" t="n">
        <v>45965</v>
      </c>
      <c r="B5" s="2" t="inlineStr">
        <is>
          <t>Workout log captured (multiple lifts + core).</t>
        </is>
      </c>
      <c r="C5" s="2" t="inlineStr">
        <is>
          <t>Chat log</t>
        </is>
      </c>
      <c r="D5" s="2" t="n"/>
    </row>
    <row r="6" ht="30" customHeight="1" s="15">
      <c r="A6" s="3" t="n">
        <v>45966</v>
      </c>
      <c r="B6" s="2" t="inlineStr">
        <is>
          <t>YMCA 5-day program document timestamp (file name).</t>
        </is>
      </c>
      <c r="C6" s="2" t="inlineStr">
        <is>
          <t>Andres_YMCA_5day_program...xlsx/pdf</t>
        </is>
      </c>
      <c r="D6" s="2" t="inlineStr">
        <is>
          <t>File date from filename; not necessarily session date.</t>
        </is>
      </c>
    </row>
    <row r="7">
      <c r="A7" s="3" t="n">
        <v>45980</v>
      </c>
      <c r="B7" s="2" t="inlineStr">
        <is>
          <t>Whole-body DEXA scan (ISU).</t>
        </is>
      </c>
      <c r="C7" s="2" t="inlineStr">
        <is>
          <t>DEXA 11 25.pdf</t>
        </is>
      </c>
      <c r="D7" s="2" t="inlineStr">
        <is>
          <t>Scan date on report: Nov 19, 2025.</t>
        </is>
      </c>
    </row>
    <row r="8">
      <c r="A8" s="3" t="n">
        <v>46036</v>
      </c>
      <c r="B8" s="2" t="inlineStr">
        <is>
          <t>Whole-body DEXA scan (ISU).</t>
        </is>
      </c>
      <c r="C8" s="2" t="inlineStr">
        <is>
          <t>dexas scan 16 01 26.pdf</t>
        </is>
      </c>
      <c r="D8" s="2" t="inlineStr">
        <is>
          <t>Scan date on report: Jan 14, 2026.</t>
        </is>
      </c>
    </row>
    <row r="9">
      <c r="A9" s="3" t="n">
        <v>46054</v>
      </c>
      <c r="B9" s="2" t="inlineStr">
        <is>
          <t>Weight about 158.5 lb (referenced in chat).</t>
        </is>
      </c>
      <c r="C9" s="2" t="inlineStr">
        <is>
          <t>Chat message</t>
        </is>
      </c>
      <c r="D9" s="2" t="inlineStr">
        <is>
          <t>Month-only.</t>
        </is>
      </c>
    </row>
    <row r="10" ht="30" customHeight="1" s="15">
      <c r="A10" s="3" t="n">
        <v>46056</v>
      </c>
      <c r="B10" s="2" t="inlineStr">
        <is>
          <t>Strength capacity test day (single sets to estimate limits).</t>
        </is>
      </c>
      <c r="C10" s="2" t="inlineStr">
        <is>
          <t>Chat message + Strength Testing Results.png</t>
        </is>
      </c>
      <c r="D1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13" customWidth="1" style="15" min="2" max="2"/>
    <col width="48" customWidth="1" style="15" min="3" max="4"/>
    <col width="13" customWidth="1" style="15" min="5" max="5"/>
  </cols>
  <sheetData>
    <row r="1">
      <c r="A1" s="1" t="inlineStr">
        <is>
          <t>Date</t>
        </is>
      </c>
      <c r="B1" s="1" t="inlineStr">
        <is>
          <t>Weight (lb)</t>
        </is>
      </c>
      <c r="C1" s="1" t="inlineStr">
        <is>
          <t>Source</t>
        </is>
      </c>
      <c r="D1" s="1" t="inlineStr">
        <is>
          <t>Notes</t>
        </is>
      </c>
      <c r="E1" s="1" t="inlineStr">
        <is>
          <t>Weight (kg)</t>
        </is>
      </c>
    </row>
    <row r="2">
      <c r="A2" s="3" t="n">
        <v>45627</v>
      </c>
      <c r="B2" s="2" t="n">
        <v>233</v>
      </c>
      <c r="C2" s="2" t="inlineStr">
        <is>
          <t>Chat message (stated starting weight; month-level)</t>
        </is>
      </c>
      <c r="D2" s="2" t="inlineStr">
        <is>
          <t>Month-only date; set to 1st of month for sorting.</t>
        </is>
      </c>
      <c r="E2" s="2" t="n"/>
    </row>
    <row r="3">
      <c r="A3" s="3" t="n">
        <v>46054</v>
      </c>
      <c r="B3" s="2" t="n">
        <v>158.5</v>
      </c>
      <c r="C3" s="2" t="inlineStr">
        <is>
          <t>Chat message (weight around Feb 2026)</t>
        </is>
      </c>
      <c r="D3" s="2" t="inlineStr">
        <is>
          <t>Month-only date; set to 1st of month for sorting.</t>
        </is>
      </c>
      <c r="E3" s="2" t="n"/>
    </row>
    <row r="4" ht="30" customHeight="1" s="15">
      <c r="A4" s="3" t="n">
        <v>46056</v>
      </c>
      <c r="B4" s="2" t="n">
        <v>160.9</v>
      </c>
      <c r="C4" s="2" t="inlineStr">
        <is>
          <t>Chat message (mass from scan)</t>
        </is>
      </c>
      <c r="D4" s="2" t="inlineStr">
        <is>
          <t>User noted scan header mass field was off; 73 kg used.</t>
        </is>
      </c>
      <c r="E4" s="2" t="n">
        <v>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37" customWidth="1" style="15" min="2" max="2"/>
    <col width="10" customWidth="1" style="15" min="3" max="4"/>
    <col width="14" customWidth="1" style="15" min="5" max="5"/>
    <col width="30" customWidth="1" style="15" min="6" max="6"/>
  </cols>
  <sheetData>
    <row r="1">
      <c r="A1" s="1" t="inlineStr">
        <is>
          <t>Date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Source</t>
        </is>
      </c>
      <c r="F1" s="1" t="inlineStr">
        <is>
          <t>Notes</t>
        </is>
      </c>
    </row>
    <row r="2">
      <c r="A2" s="3" t="n">
        <v>46056</v>
      </c>
      <c r="B2" s="2" t="inlineStr">
        <is>
          <t>Active calories/day (Apple Watch)</t>
        </is>
      </c>
      <c r="C2" s="2" t="n">
        <v>650</v>
      </c>
      <c r="D2" s="2" t="inlineStr">
        <is>
          <t>kcal/day</t>
        </is>
      </c>
      <c r="E2" s="2" t="inlineStr">
        <is>
          <t>Chat message</t>
        </is>
      </c>
      <c r="F2" s="2" t="n"/>
    </row>
    <row r="3">
      <c r="A3" s="3" t="n">
        <v>46056</v>
      </c>
      <c r="B3" s="2" t="inlineStr">
        <is>
          <t>Resting calories/day (Apple Watch)</t>
        </is>
      </c>
      <c r="C3" s="2" t="n">
        <v>1650</v>
      </c>
      <c r="D3" s="2" t="inlineStr">
        <is>
          <t>kcal/day</t>
        </is>
      </c>
      <c r="E3" s="2" t="inlineStr">
        <is>
          <t>Chat message</t>
        </is>
      </c>
      <c r="F3" s="2" t="n"/>
    </row>
    <row r="4">
      <c r="A4" s="3" t="n">
        <v>46056</v>
      </c>
      <c r="B4" s="2" t="inlineStr">
        <is>
          <t>Planned intake for 0.5 lb/week loss</t>
        </is>
      </c>
      <c r="C4" s="2" t="n">
        <v>2000</v>
      </c>
      <c r="D4" s="2" t="inlineStr">
        <is>
          <t>kcal/day</t>
        </is>
      </c>
      <c r="E4" s="2" t="inlineStr">
        <is>
          <t>Chat message</t>
        </is>
      </c>
      <c r="F4" s="2" t="inlineStr">
        <is>
          <t>Round-number plan discussed.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27" customWidth="1" style="15" min="2" max="2"/>
    <col width="17" customWidth="1" style="15" min="3" max="3"/>
    <col width="15" customWidth="1" style="15" min="4" max="5"/>
    <col width="10" customWidth="1" style="15" min="6" max="7"/>
    <col width="48" customWidth="1" style="15" min="8" max="8"/>
    <col width="16" customWidth="1" style="15" min="9" max="9"/>
  </cols>
  <sheetData>
    <row r="1">
      <c r="A1" s="1" t="inlineStr">
        <is>
          <t>Scan date</t>
        </is>
      </c>
      <c r="B1" s="1" t="inlineStr">
        <is>
          <t>Source</t>
        </is>
      </c>
      <c r="C1" s="1" t="inlineStr">
        <is>
          <t>Total mass (kg)</t>
        </is>
      </c>
      <c r="D1" s="1" t="inlineStr">
        <is>
          <t>Fat mass (kg)</t>
        </is>
      </c>
      <c r="E1" s="1" t="inlineStr">
        <is>
          <t>Lean+BMC (kg)</t>
        </is>
      </c>
      <c r="F1" s="1" t="inlineStr">
        <is>
          <t>BMC (kg)</t>
        </is>
      </c>
      <c r="G1" s="1" t="inlineStr">
        <is>
          <t>% fat</t>
        </is>
      </c>
      <c r="H1" s="1" t="inlineStr">
        <is>
          <t>Notes</t>
        </is>
      </c>
      <c r="I1" s="1" t="inlineStr">
        <is>
          <t>Lean mass (kg)</t>
        </is>
      </c>
    </row>
    <row r="2" ht="30" customHeight="1" s="15">
      <c r="A2" s="3" t="n">
        <v>45895</v>
      </c>
      <c r="B2" s="2" t="inlineStr">
        <is>
          <t>DEXA Scans Comparison All Three.xlsx</t>
        </is>
      </c>
      <c r="C2" s="2" t="n">
        <v>78.90339999999999</v>
      </c>
      <c r="D2" s="2" t="n">
        <v>26.7279</v>
      </c>
      <c r="E2" s="2" t="n">
        <v>52.1755</v>
      </c>
      <c r="F2" s="2" t="n">
        <v>2.39097</v>
      </c>
      <c r="G2" s="2" t="n">
        <v>33.9</v>
      </c>
      <c r="H2" s="2" t="inlineStr">
        <is>
          <t>Updated from structured comparison workbook (replaces OCR/partial values).</t>
        </is>
      </c>
      <c r="I2" s="2" t="n">
        <v>49.7845</v>
      </c>
    </row>
    <row r="3" ht="30" customHeight="1" s="15">
      <c r="A3" s="3" t="n">
        <v>45980</v>
      </c>
      <c r="B3" s="2" t="inlineStr">
        <is>
          <t>DEXA Scans Comparison All Three.xlsx</t>
        </is>
      </c>
      <c r="C3" s="2" t="n">
        <v>75.4739</v>
      </c>
      <c r="D3" s="2" t="n">
        <v>23.6693</v>
      </c>
      <c r="E3" s="2" t="n">
        <v>51.8046</v>
      </c>
      <c r="F3" s="2" t="n">
        <v>2.33497</v>
      </c>
      <c r="G3" s="2" t="n">
        <v>31.4</v>
      </c>
      <c r="H3" s="2" t="inlineStr">
        <is>
          <t>Updated from structured comparison workbook (replaces OCR/partial values).</t>
        </is>
      </c>
      <c r="I3" s="2" t="n">
        <v>49.4696</v>
      </c>
    </row>
    <row r="4" ht="30" customHeight="1" s="15">
      <c r="A4" s="3" t="n">
        <v>46036</v>
      </c>
      <c r="B4" s="2" t="inlineStr">
        <is>
          <t>DEXA Scans Comparison All Three.xlsx</t>
        </is>
      </c>
      <c r="C4" s="2" t="n">
        <v>73.07239999999999</v>
      </c>
      <c r="D4" s="2" t="n">
        <v>21.7641</v>
      </c>
      <c r="E4" s="2" t="n">
        <v>51.3083</v>
      </c>
      <c r="F4" s="2" t="n">
        <v>2.36926</v>
      </c>
      <c r="G4" s="2" t="n">
        <v>29.8</v>
      </c>
      <c r="H4" s="2" t="inlineStr">
        <is>
          <t>Updated from structured comparison workbook (replaces OCR/partial values).</t>
        </is>
      </c>
      <c r="I4" s="2" t="n">
        <v>48.939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18" customWidth="1" style="15" min="2" max="2"/>
    <col width="28" customWidth="1" style="15" min="3" max="3"/>
    <col width="22" customWidth="1" style="15" min="4" max="4"/>
    <col width="24" customWidth="1" style="15" min="5" max="5"/>
    <col width="27" customWidth="1" style="15" min="6" max="6"/>
    <col width="24" customWidth="1" style="15" min="7" max="7"/>
    <col width="29" customWidth="1" style="15" min="8" max="8"/>
    <col width="27" customWidth="1" style="15" min="9" max="9"/>
    <col width="24" customWidth="1" style="15" min="10" max="10"/>
    <col width="37" customWidth="1" style="15" min="11" max="11"/>
  </cols>
  <sheetData>
    <row r="1">
      <c r="A1" s="1" t="inlineStr">
        <is>
          <t>Scan date</t>
        </is>
      </c>
      <c r="B1" s="1" t="inlineStr">
        <is>
          <t>Total body % fat</t>
        </is>
      </c>
      <c r="C1" s="1" t="inlineStr">
        <is>
          <t>Fat mass/height^2 (kg/m^2)</t>
        </is>
      </c>
      <c r="D1" s="1" t="inlineStr">
        <is>
          <t>Android/Gynoid ratio</t>
        </is>
      </c>
      <c r="E1" s="1" t="inlineStr">
        <is>
          <t>%fat trunk / %fat legs</t>
        </is>
      </c>
      <c r="F1" s="1" t="inlineStr">
        <is>
          <t>Trunk/limb fat mass ratio</t>
        </is>
      </c>
      <c r="G1" s="1" t="inlineStr">
        <is>
          <t>Estimated VAT mass (g)</t>
        </is>
      </c>
      <c r="H1" s="1" t="inlineStr">
        <is>
          <t>Estimated VAT volume (cm^3)</t>
        </is>
      </c>
      <c r="I1" s="1" t="inlineStr">
        <is>
          <t>Estimated VAT area (cm^2)</t>
        </is>
      </c>
      <c r="J1" s="1" t="inlineStr">
        <is>
          <t>Lean/height^2 (kg/m^2)</t>
        </is>
      </c>
      <c r="K1" s="1" t="inlineStr">
        <is>
          <t>Appendicular lean/height^2 (kg/m^2)</t>
        </is>
      </c>
    </row>
    <row r="2">
      <c r="A2" s="3" t="n">
        <v>45980</v>
      </c>
      <c r="B2" s="2" t="n">
        <v>31.4</v>
      </c>
      <c r="C2" s="2" t="n">
        <v>8.17</v>
      </c>
      <c r="D2" s="2" t="n">
        <v>1.09</v>
      </c>
      <c r="E2" s="2" t="n">
        <v>1.07</v>
      </c>
      <c r="F2" s="2" t="n">
        <v>1.21</v>
      </c>
      <c r="G2" s="2" t="n">
        <v>580</v>
      </c>
      <c r="H2" s="2" t="n">
        <v>627</v>
      </c>
      <c r="I2" s="2" t="n">
        <v>120</v>
      </c>
      <c r="J2" s="2" t="n">
        <v>17.1</v>
      </c>
      <c r="K2" s="2" t="n">
        <v>7.46</v>
      </c>
    </row>
    <row r="3">
      <c r="A3" s="4" t="n">
        <v>45895</v>
      </c>
      <c r="B3" t="n">
        <v>33.9</v>
      </c>
      <c r="C3" t="n">
        <v>9.23</v>
      </c>
      <c r="D3" t="n">
        <v>1.21</v>
      </c>
      <c r="E3" t="n">
        <v>1.09</v>
      </c>
      <c r="F3" t="n">
        <v>1.24</v>
      </c>
      <c r="G3" t="n">
        <v>745</v>
      </c>
      <c r="H3" t="n">
        <v>806</v>
      </c>
      <c r="I3" t="n">
        <v>135</v>
      </c>
      <c r="J3" t="n">
        <v>17.2</v>
      </c>
      <c r="K3" t="n">
        <v>7.44</v>
      </c>
    </row>
    <row r="4">
      <c r="A4" s="4" t="n">
        <v>46036</v>
      </c>
      <c r="B4" t="n">
        <v>29.8</v>
      </c>
      <c r="C4" t="n">
        <v>7.51</v>
      </c>
      <c r="D4" t="n">
        <v>1.15</v>
      </c>
      <c r="E4" t="n">
        <v>1.04</v>
      </c>
      <c r="F4" t="n">
        <v>1.17</v>
      </c>
      <c r="G4" t="n">
        <v>652</v>
      </c>
      <c r="H4" t="n">
        <v>705</v>
      </c>
      <c r="I4" t="n">
        <v>135</v>
      </c>
      <c r="J4" t="n">
        <v>16.9</v>
      </c>
      <c r="K4" t="n">
        <v>7.37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17" customWidth="1" style="15" min="2" max="2"/>
    <col width="20" customWidth="1" style="15" min="3" max="4"/>
    <col width="21" customWidth="1" style="15" min="5" max="5"/>
    <col width="17" customWidth="1" style="15" min="6" max="6"/>
    <col width="20" customWidth="1" style="15" min="7" max="7"/>
    <col width="19" customWidth="1" style="15" min="8" max="8"/>
    <col width="21" customWidth="1" style="15" min="9" max="9"/>
    <col width="20" customWidth="1" style="15" min="10" max="10"/>
  </cols>
  <sheetData>
    <row r="1">
      <c r="A1" s="1" t="inlineStr">
        <is>
          <t>Scan date</t>
        </is>
      </c>
      <c r="B1" s="1" t="inlineStr">
        <is>
          <t>Region</t>
        </is>
      </c>
      <c r="C1" s="1" t="inlineStr">
        <is>
          <t>fat_kg</t>
        </is>
      </c>
      <c r="D1" s="1" t="inlineStr">
        <is>
          <t>lean_kg</t>
        </is>
      </c>
      <c r="E1" s="1" t="inlineStr">
        <is>
          <t>bmc_kg</t>
        </is>
      </c>
      <c r="F1" s="1" t="inlineStr">
        <is>
          <t>leanplus_bmc_kg</t>
        </is>
      </c>
      <c r="G1" s="1" t="inlineStr">
        <is>
          <t>total_kg</t>
        </is>
      </c>
      <c r="H1" s="1" t="inlineStr">
        <is>
          <t>% fat</t>
        </is>
      </c>
      <c r="I1" s="1" t="inlineStr">
        <is>
          <t>%ile (young normal)</t>
        </is>
      </c>
      <c r="J1" s="1" t="inlineStr">
        <is>
          <t>%ile (age matched)</t>
        </is>
      </c>
    </row>
    <row r="2">
      <c r="A2" s="4" t="n">
        <v>45895</v>
      </c>
      <c r="B2" t="inlineStr">
        <is>
          <t>L Arm</t>
        </is>
      </c>
      <c r="C2" t="n">
        <v>1.7052</v>
      </c>
      <c r="D2" t="n">
        <v>2.782</v>
      </c>
      <c r="E2" t="n">
        <v>0.18148</v>
      </c>
      <c r="F2" t="n">
        <v>2.9635</v>
      </c>
      <c r="G2" t="n">
        <v>4.668699999999999</v>
      </c>
      <c r="H2" t="n">
        <v>36.5</v>
      </c>
    </row>
    <row r="3">
      <c r="A3" s="4" t="n">
        <v>45895</v>
      </c>
      <c r="B3" t="inlineStr">
        <is>
          <t>R Arm</t>
        </is>
      </c>
      <c r="C3" t="n">
        <v>1.6265</v>
      </c>
      <c r="D3" t="n">
        <v>3.0564</v>
      </c>
      <c r="E3" t="n">
        <v>0.20661</v>
      </c>
      <c r="F3" t="n">
        <v>3.263</v>
      </c>
      <c r="G3" t="n">
        <v>4.8895</v>
      </c>
      <c r="H3" t="n">
        <v>33.3</v>
      </c>
    </row>
    <row r="4">
      <c r="A4" s="4" t="n">
        <v>45895</v>
      </c>
      <c r="B4" t="inlineStr">
        <is>
          <t>Trunk</t>
        </is>
      </c>
      <c r="C4" t="n">
        <v>14.0422</v>
      </c>
      <c r="D4" t="n">
        <v>24.8582</v>
      </c>
      <c r="E4" t="n">
        <v>0.6742</v>
      </c>
      <c r="F4" t="n">
        <v>25.5324</v>
      </c>
      <c r="G4" t="n">
        <v>39.5745</v>
      </c>
      <c r="H4" t="n">
        <v>35.5</v>
      </c>
    </row>
    <row r="5">
      <c r="A5" s="4" t="n">
        <v>45895</v>
      </c>
      <c r="B5" t="inlineStr">
        <is>
          <t>L Leg</t>
        </is>
      </c>
      <c r="C5" t="n">
        <v>4.0242</v>
      </c>
      <c r="D5" t="n">
        <v>7.898</v>
      </c>
      <c r="E5" t="n">
        <v>0.44483</v>
      </c>
      <c r="F5" t="n">
        <v>8.342799999999999</v>
      </c>
      <c r="G5" t="n">
        <v>12.367</v>
      </c>
      <c r="H5" t="n">
        <v>32.5</v>
      </c>
    </row>
    <row r="6">
      <c r="A6" s="4" t="n">
        <v>45895</v>
      </c>
      <c r="B6" t="inlineStr">
        <is>
          <t>R Leg</t>
        </is>
      </c>
      <c r="C6" t="n">
        <v>3.9543</v>
      </c>
      <c r="D6" t="n">
        <v>7.8223</v>
      </c>
      <c r="E6" t="n">
        <v>0.45371</v>
      </c>
      <c r="F6" t="n">
        <v>8.276</v>
      </c>
      <c r="G6" t="n">
        <v>12.2303</v>
      </c>
      <c r="H6" t="n">
        <v>32.3</v>
      </c>
    </row>
    <row r="7">
      <c r="A7" s="4" t="n">
        <v>45895</v>
      </c>
      <c r="B7" t="inlineStr">
        <is>
          <t>Subtotal</t>
        </is>
      </c>
      <c r="C7" t="n">
        <v>25.3524</v>
      </c>
      <c r="D7" t="n">
        <v>46.4168</v>
      </c>
      <c r="E7" t="n">
        <v>1.96083</v>
      </c>
      <c r="F7" t="n">
        <v>48.3776</v>
      </c>
      <c r="G7" t="n">
        <v>73.73</v>
      </c>
      <c r="H7" t="n">
        <v>34.4</v>
      </c>
    </row>
    <row r="8">
      <c r="A8" s="4" t="n">
        <v>45895</v>
      </c>
      <c r="B8" t="inlineStr">
        <is>
          <t>Head</t>
        </is>
      </c>
      <c r="C8" t="n">
        <v>1.3755</v>
      </c>
      <c r="D8" t="n">
        <v>3.3677</v>
      </c>
      <c r="E8" t="n">
        <v>0.43014</v>
      </c>
      <c r="F8" t="n">
        <v>3.7979</v>
      </c>
      <c r="G8" t="n">
        <v>5.1734</v>
      </c>
      <c r="H8" t="n">
        <v>26.6</v>
      </c>
    </row>
    <row r="9">
      <c r="A9" s="4" t="n">
        <v>45895</v>
      </c>
      <c r="B9" t="inlineStr">
        <is>
          <t>Total</t>
        </is>
      </c>
      <c r="C9" t="n">
        <v>26.7279</v>
      </c>
      <c r="D9" t="n">
        <v>49.7845</v>
      </c>
      <c r="E9" t="n">
        <v>2.39097</v>
      </c>
      <c r="F9" t="n">
        <v>52.1755</v>
      </c>
      <c r="G9" t="n">
        <v>78.90339999999999</v>
      </c>
      <c r="H9" t="n">
        <v>33.9</v>
      </c>
    </row>
    <row r="10">
      <c r="A10" s="4" t="n">
        <v>45980</v>
      </c>
      <c r="B10" t="inlineStr">
        <is>
          <t>L Arm</t>
        </is>
      </c>
      <c r="C10" t="n">
        <v>1.4868</v>
      </c>
      <c r="D10" t="n">
        <v>2.7582</v>
      </c>
      <c r="E10" t="n">
        <v>0.17191</v>
      </c>
      <c r="F10" t="n">
        <v>2.9302</v>
      </c>
      <c r="G10" t="n">
        <v>4.4169</v>
      </c>
      <c r="H10" t="n">
        <v>33.7</v>
      </c>
    </row>
    <row r="11">
      <c r="A11" s="4" t="n">
        <v>45980</v>
      </c>
      <c r="B11" t="inlineStr">
        <is>
          <t>R Arm</t>
        </is>
      </c>
      <c r="C11" t="n">
        <v>1.4337</v>
      </c>
      <c r="D11" t="n">
        <v>3.2414</v>
      </c>
      <c r="E11" t="n">
        <v>0.19544</v>
      </c>
      <c r="F11" t="n">
        <v>3.4368</v>
      </c>
      <c r="G11" t="n">
        <v>4.8705</v>
      </c>
      <c r="H11" t="n">
        <v>29.4</v>
      </c>
    </row>
    <row r="12">
      <c r="A12" s="4" t="n">
        <v>45980</v>
      </c>
      <c r="B12" t="inlineStr">
        <is>
          <t>Trunk</t>
        </is>
      </c>
      <c r="C12" t="n">
        <v>12.1993</v>
      </c>
      <c r="D12" t="n">
        <v>24.5371</v>
      </c>
      <c r="E12" t="n">
        <v>0.67001</v>
      </c>
      <c r="F12" t="n">
        <v>25.2072</v>
      </c>
      <c r="G12" t="n">
        <v>37.4064</v>
      </c>
      <c r="H12" t="n">
        <v>32.6</v>
      </c>
    </row>
    <row r="13">
      <c r="A13" s="4" t="n">
        <v>45980</v>
      </c>
      <c r="B13" t="inlineStr">
        <is>
          <t>L Leg</t>
        </is>
      </c>
      <c r="C13" t="n">
        <v>3.6937</v>
      </c>
      <c r="D13" t="n">
        <v>7.966600000000001</v>
      </c>
      <c r="E13" t="n">
        <v>0.43586</v>
      </c>
      <c r="F13" t="n">
        <v>8.4025</v>
      </c>
      <c r="G13" t="n">
        <v>12.0962</v>
      </c>
      <c r="H13" t="n">
        <v>30.5</v>
      </c>
    </row>
    <row r="14">
      <c r="A14" s="4" t="n">
        <v>45980</v>
      </c>
      <c r="B14" t="inlineStr">
        <is>
          <t>R Leg</t>
        </is>
      </c>
      <c r="C14" t="n">
        <v>3.507</v>
      </c>
      <c r="D14" t="n">
        <v>7.637</v>
      </c>
      <c r="E14" t="n">
        <v>0.46606</v>
      </c>
      <c r="F14" t="n">
        <v>8.1031</v>
      </c>
      <c r="G14" t="n">
        <v>11.6101</v>
      </c>
      <c r="H14" t="n">
        <v>30.2</v>
      </c>
    </row>
    <row r="15">
      <c r="A15" s="4" t="n">
        <v>45980</v>
      </c>
      <c r="B15" t="inlineStr">
        <is>
          <t>Subtotal</t>
        </is>
      </c>
      <c r="C15" t="n">
        <v>22.3205</v>
      </c>
      <c r="D15" t="n">
        <v>46.1404</v>
      </c>
      <c r="E15" t="n">
        <v>1.93928</v>
      </c>
      <c r="F15" t="n">
        <v>48.0797</v>
      </c>
      <c r="G15" t="n">
        <v>70.40010000000001</v>
      </c>
      <c r="H15" t="n">
        <v>31.7</v>
      </c>
    </row>
    <row r="16">
      <c r="A16" s="4" t="n">
        <v>45980</v>
      </c>
      <c r="B16" t="inlineStr">
        <is>
          <t>Head</t>
        </is>
      </c>
      <c r="C16" t="n">
        <v>1.3489</v>
      </c>
      <c r="D16" t="n">
        <v>3.3292</v>
      </c>
      <c r="E16" t="n">
        <v>0.39569</v>
      </c>
      <c r="F16" t="n">
        <v>3.7249</v>
      </c>
      <c r="G16" t="n">
        <v>5.0738</v>
      </c>
      <c r="H16" t="n">
        <v>26.6</v>
      </c>
    </row>
    <row r="17">
      <c r="A17" s="4" t="n">
        <v>45980</v>
      </c>
      <c r="B17" t="inlineStr">
        <is>
          <t>Total</t>
        </is>
      </c>
      <c r="C17" t="n">
        <v>23.6693</v>
      </c>
      <c r="D17" t="n">
        <v>49.4696</v>
      </c>
      <c r="E17" t="n">
        <v>2.33497</v>
      </c>
      <c r="F17" t="n">
        <v>51.8046</v>
      </c>
      <c r="G17" t="n">
        <v>75.4739</v>
      </c>
      <c r="H17" t="n">
        <v>31.4</v>
      </c>
    </row>
    <row r="18">
      <c r="A18" s="4" t="n">
        <v>46036</v>
      </c>
      <c r="B18" t="inlineStr">
        <is>
          <t>L Arm</t>
        </is>
      </c>
      <c r="C18" t="n">
        <v>1.3832</v>
      </c>
      <c r="D18" t="n">
        <v>2.8892</v>
      </c>
      <c r="E18" t="n">
        <v>0.17348</v>
      </c>
      <c r="F18" t="n">
        <v>3.0627</v>
      </c>
      <c r="G18" t="n">
        <v>4.4459</v>
      </c>
      <c r="H18" t="n">
        <v>31.1</v>
      </c>
    </row>
    <row r="19">
      <c r="A19" s="4" t="n">
        <v>46036</v>
      </c>
      <c r="B19" t="inlineStr">
        <is>
          <t>R Arm</t>
        </is>
      </c>
      <c r="C19" t="n">
        <v>1.2841</v>
      </c>
      <c r="D19" t="n">
        <v>3.0531</v>
      </c>
      <c r="E19" t="n">
        <v>0.19543</v>
      </c>
      <c r="F19" t="n">
        <v>3.2485</v>
      </c>
      <c r="G19" t="n">
        <v>4.5327</v>
      </c>
      <c r="H19" t="n">
        <v>28.3</v>
      </c>
    </row>
    <row r="20">
      <c r="A20" s="4" t="n">
        <v>46036</v>
      </c>
      <c r="B20" t="inlineStr">
        <is>
          <t>Trunk</t>
        </is>
      </c>
      <c r="C20" t="n">
        <v>11.0041</v>
      </c>
      <c r="D20" t="n">
        <v>24.2963</v>
      </c>
      <c r="E20" t="n">
        <v>0.66787</v>
      </c>
      <c r="F20" t="n">
        <v>24.9642</v>
      </c>
      <c r="G20" t="n">
        <v>35.9682</v>
      </c>
      <c r="H20" t="n">
        <v>30.6</v>
      </c>
    </row>
    <row r="21">
      <c r="A21" s="4" t="n">
        <v>46036</v>
      </c>
      <c r="B21" t="inlineStr">
        <is>
          <t>L Leg</t>
        </is>
      </c>
      <c r="C21" t="n">
        <v>3.4222</v>
      </c>
      <c r="D21" t="n">
        <v>7.7263</v>
      </c>
      <c r="E21" t="n">
        <v>0.44901</v>
      </c>
      <c r="F21" t="n">
        <v>8.1753</v>
      </c>
      <c r="G21" t="n">
        <v>11.5975</v>
      </c>
      <c r="H21" t="n">
        <v>29.5</v>
      </c>
    </row>
    <row r="22">
      <c r="A22" s="4" t="n">
        <v>46036</v>
      </c>
      <c r="B22" t="inlineStr">
        <is>
          <t>R Leg</t>
        </is>
      </c>
      <c r="C22" t="n">
        <v>3.3328</v>
      </c>
      <c r="D22" t="n">
        <v>7.6765</v>
      </c>
      <c r="E22" t="n">
        <v>0.458</v>
      </c>
      <c r="F22" t="n">
        <v>8.134499999999999</v>
      </c>
      <c r="G22" t="n">
        <v>11.4673</v>
      </c>
      <c r="H22" t="n">
        <v>29.1</v>
      </c>
    </row>
    <row r="23">
      <c r="A23" s="4" t="n">
        <v>46036</v>
      </c>
      <c r="B23" t="inlineStr">
        <is>
          <t>Subtotal</t>
        </is>
      </c>
      <c r="C23" t="n">
        <v>20.4264</v>
      </c>
      <c r="D23" t="n">
        <v>45.6414</v>
      </c>
      <c r="E23" t="n">
        <v>1.94379</v>
      </c>
      <c r="F23" t="n">
        <v>47.5852</v>
      </c>
      <c r="G23" t="n">
        <v>68.0116</v>
      </c>
      <c r="H23" t="n">
        <v>30</v>
      </c>
    </row>
    <row r="24">
      <c r="A24" s="4" t="n">
        <v>46036</v>
      </c>
      <c r="B24" t="inlineStr">
        <is>
          <t>Head</t>
        </is>
      </c>
      <c r="C24" t="n">
        <v>1.3377</v>
      </c>
      <c r="D24" t="n">
        <v>3.2976</v>
      </c>
      <c r="E24" t="n">
        <v>0.42546</v>
      </c>
      <c r="F24" t="n">
        <v>3.7231</v>
      </c>
      <c r="G24" t="n">
        <v>5.0607</v>
      </c>
      <c r="H24" t="n">
        <v>26.4</v>
      </c>
    </row>
    <row r="25">
      <c r="A25" s="4" t="n">
        <v>46036</v>
      </c>
      <c r="B25" t="inlineStr">
        <is>
          <t>Total</t>
        </is>
      </c>
      <c r="C25" t="n">
        <v>21.7641</v>
      </c>
      <c r="D25" t="n">
        <v>48.939</v>
      </c>
      <c r="E25" t="n">
        <v>2.36926</v>
      </c>
      <c r="F25" t="n">
        <v>51.3083</v>
      </c>
      <c r="G25" t="n">
        <v>73.07239999999999</v>
      </c>
      <c r="H25" t="n">
        <v>29.8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31" customWidth="1" style="15" min="2" max="2"/>
    <col width="10" customWidth="1" style="15" min="3" max="3"/>
    <col width="11" customWidth="1" style="15" min="4" max="4"/>
    <col width="44" customWidth="1" style="15" min="5" max="5"/>
    <col width="48" customWidth="1" style="15" min="6" max="6"/>
    <col width="20" customWidth="1" style="15" min="7" max="7"/>
  </cols>
  <sheetData>
    <row r="1">
      <c r="A1" s="1" t="inlineStr">
        <is>
          <t>Date</t>
        </is>
      </c>
      <c r="B1" s="1" t="inlineStr">
        <is>
          <t>Exercise</t>
        </is>
      </c>
      <c r="C1" s="1" t="inlineStr">
        <is>
          <t>Reps</t>
        </is>
      </c>
      <c r="D1" s="1" t="inlineStr">
        <is>
          <t>Load (lb)</t>
        </is>
      </c>
      <c r="E1" s="1" t="inlineStr">
        <is>
          <t>Source</t>
        </is>
      </c>
      <c r="F1" s="1" t="inlineStr">
        <is>
          <t>Notes</t>
        </is>
      </c>
      <c r="G1" s="1" t="inlineStr">
        <is>
          <t>Estimated 1RM (lb)</t>
        </is>
      </c>
    </row>
    <row r="2">
      <c r="A2" s="3" t="n">
        <v>46056</v>
      </c>
      <c r="B2" s="2" t="inlineStr">
        <is>
          <t>Biceps curl (barbell)</t>
        </is>
      </c>
      <c r="C2" s="2" t="n">
        <v>30</v>
      </c>
      <c r="D2" s="2" t="n">
        <v>40</v>
      </c>
      <c r="E2" s="2" t="inlineStr">
        <is>
          <t>Chat message (Strength training test day)</t>
        </is>
      </c>
      <c r="F2" s="2" t="inlineStr">
        <is>
          <t>Single set for capacity test.</t>
        </is>
      </c>
      <c r="G2" s="2" t="n"/>
    </row>
    <row r="3">
      <c r="A3" s="3" t="n">
        <v>46056</v>
      </c>
      <c r="B3" s="2" t="inlineStr">
        <is>
          <t>Cable row</t>
        </is>
      </c>
      <c r="C3" s="2" t="n">
        <v>20</v>
      </c>
      <c r="D3" s="2" t="n">
        <v>85</v>
      </c>
      <c r="E3" s="2" t="inlineStr">
        <is>
          <t>Chat message (Strength training test day)</t>
        </is>
      </c>
      <c r="F3" s="2" t="inlineStr">
        <is>
          <t>Single set for capacity test.</t>
        </is>
      </c>
      <c r="G3" s="2" t="n"/>
    </row>
    <row r="4">
      <c r="A4" s="3" t="n">
        <v>46056</v>
      </c>
      <c r="B4" s="2" t="inlineStr">
        <is>
          <t>Chest press</t>
        </is>
      </c>
      <c r="C4" s="2" t="n">
        <v>8</v>
      </c>
      <c r="D4" s="2" t="n">
        <v>105</v>
      </c>
      <c r="E4" s="2" t="inlineStr">
        <is>
          <t>Chat message (Strength training test day)</t>
        </is>
      </c>
      <c r="F4" s="2" t="inlineStr">
        <is>
          <t>Single set for capacity test.</t>
        </is>
      </c>
      <c r="G4" s="2" t="n"/>
    </row>
    <row r="5">
      <c r="A5" s="3" t="n">
        <v>46056</v>
      </c>
      <c r="B5" s="2" t="inlineStr">
        <is>
          <t>Leg curl</t>
        </is>
      </c>
      <c r="C5" s="2" t="n">
        <v>8</v>
      </c>
      <c r="D5" s="2" t="n">
        <v>90</v>
      </c>
      <c r="E5" s="2" t="inlineStr">
        <is>
          <t>Chat message (Strength training test day)</t>
        </is>
      </c>
      <c r="F5" s="2" t="inlineStr">
        <is>
          <t>Single set for capacity test.</t>
        </is>
      </c>
      <c r="G5" s="2" t="n"/>
    </row>
    <row r="6">
      <c r="A6" s="3" t="n">
        <v>46056</v>
      </c>
      <c r="B6" s="2" t="inlineStr">
        <is>
          <t>Leg extension</t>
        </is>
      </c>
      <c r="C6" s="2" t="n">
        <v>8</v>
      </c>
      <c r="D6" s="2" t="n">
        <v>110</v>
      </c>
      <c r="E6" s="2" t="inlineStr">
        <is>
          <t>Chat message (Strength training test day)</t>
        </is>
      </c>
      <c r="F6" s="2" t="inlineStr">
        <is>
          <t>Single set for capacity test.</t>
        </is>
      </c>
      <c r="G6" s="2" t="n"/>
    </row>
    <row r="7">
      <c r="A7" s="3" t="n">
        <v>46056</v>
      </c>
      <c r="B7" s="2" t="inlineStr">
        <is>
          <t>Leg press</t>
        </is>
      </c>
      <c r="C7" s="2" t="n">
        <v>8</v>
      </c>
      <c r="D7" s="2" t="n">
        <v>240</v>
      </c>
      <c r="E7" s="2" t="inlineStr">
        <is>
          <t>Chat message (Strength training test day)</t>
        </is>
      </c>
      <c r="F7" s="2" t="inlineStr">
        <is>
          <t>Single set for capacity test.</t>
        </is>
      </c>
      <c r="G7" s="2" t="n"/>
    </row>
    <row r="8" ht="30" customHeight="1" s="15">
      <c r="A8" s="3" t="n">
        <v>46056</v>
      </c>
      <c r="B8" s="2" t="inlineStr">
        <is>
          <t>Leg press (seated) e1RM entry</t>
        </is>
      </c>
      <c r="C8" s="2" t="n">
        <v>6</v>
      </c>
      <c r="D8" s="2" t="n">
        <v>260</v>
      </c>
      <c r="E8" s="2" t="inlineStr">
        <is>
          <t>Strength Testing Results.png (OCR partial)</t>
        </is>
      </c>
      <c r="F8" s="2" t="inlineStr">
        <is>
          <t>OCR reliably captured this row; other rows not legible in the image.</t>
        </is>
      </c>
      <c r="G8" s="2" t="n">
        <v>320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19" customWidth="1" style="15" min="2" max="2"/>
    <col width="10" customWidth="1" style="15" min="3" max="4"/>
    <col width="11" customWidth="1" style="15" min="5" max="5"/>
    <col width="32" customWidth="1" style="15" min="6" max="6"/>
    <col width="48" customWidth="1" style="15" min="7" max="7"/>
  </cols>
  <sheetData>
    <row r="1">
      <c r="A1" s="1" t="inlineStr">
        <is>
          <t>Date</t>
        </is>
      </c>
      <c r="B1" s="1" t="inlineStr">
        <is>
          <t>Exercise</t>
        </is>
      </c>
      <c r="C1" s="1" t="inlineStr">
        <is>
          <t>Sets</t>
        </is>
      </c>
      <c r="D1" s="1" t="inlineStr">
        <is>
          <t>Reps</t>
        </is>
      </c>
      <c r="E1" s="1" t="inlineStr">
        <is>
          <t>Load (lb)</t>
        </is>
      </c>
      <c r="F1" s="1" t="inlineStr">
        <is>
          <t>Source</t>
        </is>
      </c>
      <c r="G1" s="1" t="inlineStr">
        <is>
          <t>Notes</t>
        </is>
      </c>
    </row>
    <row r="2">
      <c r="A2" s="3" t="n">
        <v>45965</v>
      </c>
      <c r="B2" s="2" t="inlineStr">
        <is>
          <t>Assisted pull-ups</t>
        </is>
      </c>
      <c r="C2" s="2" t="n">
        <v>1</v>
      </c>
      <c r="D2" s="2" t="n">
        <v>10</v>
      </c>
      <c r="E2" s="2" t="n">
        <v>-85</v>
      </c>
      <c r="F2" s="2" t="inlineStr">
        <is>
          <t>Chat log (Nov 4, 2025 workout)</t>
        </is>
      </c>
      <c r="G2" s="2" t="inlineStr">
        <is>
          <t>Load is assistance; negative indicates assist.</t>
        </is>
      </c>
    </row>
    <row r="3">
      <c r="A3" s="3" t="n">
        <v>45965</v>
      </c>
      <c r="B3" s="2" t="inlineStr">
        <is>
          <t>Assisted pull-ups</t>
        </is>
      </c>
      <c r="C3" s="2" t="n">
        <v>1</v>
      </c>
      <c r="D3" s="2" t="n">
        <v>7</v>
      </c>
      <c r="E3" s="2" t="n">
        <v>-45</v>
      </c>
      <c r="F3" s="2" t="inlineStr">
        <is>
          <t>Chat log (Nov 4, 2025 workout)</t>
        </is>
      </c>
      <c r="G3" s="2" t="inlineStr">
        <is>
          <t>Load is assistance; negative indicates assist.</t>
        </is>
      </c>
    </row>
    <row r="4">
      <c r="A4" s="3" t="n">
        <v>45965</v>
      </c>
      <c r="B4" s="2" t="inlineStr">
        <is>
          <t>Assisted pull-ups</t>
        </is>
      </c>
      <c r="C4" s="2" t="n">
        <v>1</v>
      </c>
      <c r="D4" s="2" t="n">
        <v>6</v>
      </c>
      <c r="E4" s="2" t="n">
        <v>-45</v>
      </c>
      <c r="F4" s="2" t="inlineStr">
        <is>
          <t>Chat log (Nov 4, 2025 workout)</t>
        </is>
      </c>
      <c r="G4" s="2" t="inlineStr">
        <is>
          <t>Load is assistance; negative indicates assist.</t>
        </is>
      </c>
    </row>
    <row r="5">
      <c r="A5" s="3" t="n">
        <v>45965</v>
      </c>
      <c r="B5" s="2" t="inlineStr">
        <is>
          <t>Chest press</t>
        </is>
      </c>
      <c r="C5" s="2" t="n">
        <v>3</v>
      </c>
      <c r="D5" s="2" t="n">
        <v>10</v>
      </c>
      <c r="E5" s="2" t="n">
        <v>120</v>
      </c>
      <c r="F5" s="2" t="inlineStr">
        <is>
          <t>Chat log (Nov 4, 2025 workout)</t>
        </is>
      </c>
      <c r="G5" s="2" t="n"/>
    </row>
    <row r="6">
      <c r="A6" s="3" t="n">
        <v>45965</v>
      </c>
      <c r="B6" s="2" t="inlineStr">
        <is>
          <t>Goblet squat</t>
        </is>
      </c>
      <c r="C6" s="2" t="n">
        <v>3</v>
      </c>
      <c r="D6" s="2" t="n">
        <v>10</v>
      </c>
      <c r="E6" s="2" t="n">
        <v>25</v>
      </c>
      <c r="F6" s="2" t="inlineStr">
        <is>
          <t>Chat log (Nov 4, 2025 workout)</t>
        </is>
      </c>
      <c r="G6" s="2" t="n"/>
    </row>
    <row r="7">
      <c r="A7" s="3" t="n">
        <v>45965</v>
      </c>
      <c r="B7" s="2" t="inlineStr">
        <is>
          <t>Kettlebell swing</t>
        </is>
      </c>
      <c r="C7" s="2" t="n">
        <v>3</v>
      </c>
      <c r="D7" s="2" t="n">
        <v>10</v>
      </c>
      <c r="E7" s="2" t="n">
        <v>15</v>
      </c>
      <c r="F7" s="2" t="inlineStr">
        <is>
          <t>Chat log (Nov 4, 2025 workout)</t>
        </is>
      </c>
      <c r="G7" s="2" t="n"/>
    </row>
    <row r="8">
      <c r="A8" s="3" t="n">
        <v>45965</v>
      </c>
      <c r="B8" s="2" t="inlineStr">
        <is>
          <t>Leg extensions</t>
        </is>
      </c>
      <c r="C8" s="2" t="n">
        <v>3</v>
      </c>
      <c r="D8" s="2" t="n">
        <v>10</v>
      </c>
      <c r="E8" s="2" t="n">
        <v>100</v>
      </c>
      <c r="F8" s="2" t="inlineStr">
        <is>
          <t>Chat log (Nov 4, 2025 workout)</t>
        </is>
      </c>
      <c r="G8" s="2" t="n"/>
    </row>
    <row r="9">
      <c r="A9" s="3" t="n">
        <v>45965</v>
      </c>
      <c r="B9" s="2" t="inlineStr">
        <is>
          <t>Leg raises</t>
        </is>
      </c>
      <c r="C9" s="2" t="n">
        <v>3</v>
      </c>
      <c r="D9" s="2" t="n"/>
      <c r="E9" s="2" t="n"/>
      <c r="F9" s="2" t="inlineStr">
        <is>
          <t>Chat log (Nov 4, 2025 workout)</t>
        </is>
      </c>
      <c r="G9" s="2" t="inlineStr">
        <is>
          <t>3 rounds, 30s on, 30s off</t>
        </is>
      </c>
    </row>
    <row r="10">
      <c r="A10" s="3" t="n">
        <v>45965</v>
      </c>
      <c r="B10" s="2" t="inlineStr">
        <is>
          <t>Russian twists</t>
        </is>
      </c>
      <c r="C10" s="2" t="n">
        <v>3</v>
      </c>
      <c r="D10" s="2" t="n"/>
      <c r="E10" s="2" t="n"/>
      <c r="F10" s="2" t="inlineStr">
        <is>
          <t>Chat log (Nov 4, 2025 workout)</t>
        </is>
      </c>
      <c r="G10" s="2" t="inlineStr">
        <is>
          <t>3 rounds, 30s on, 30s off</t>
        </is>
      </c>
    </row>
    <row r="11">
      <c r="A11" s="3" t="n">
        <v>45965</v>
      </c>
      <c r="B11" s="2" t="inlineStr">
        <is>
          <t>Triceps overhead</t>
        </is>
      </c>
      <c r="C11" s="2" t="n">
        <v>3</v>
      </c>
      <c r="D11" s="2" t="n">
        <v>10</v>
      </c>
      <c r="E11" s="2" t="n">
        <v>30</v>
      </c>
      <c r="F11" s="2" t="inlineStr">
        <is>
          <t>Chat log (Nov 4, 2025 workout)</t>
        </is>
      </c>
      <c r="G11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style="15" min="1" max="2"/>
  </cols>
  <sheetData>
    <row r="1">
      <c r="A1" s="1" t="inlineStr">
        <is>
          <t>Artifact</t>
        </is>
      </c>
      <c r="B1" s="1" t="inlineStr">
        <is>
          <t>Path</t>
        </is>
      </c>
    </row>
    <row r="2">
      <c r="A2" s="2" t="inlineStr">
        <is>
          <t>AGVG_DexaScan Sept 25.pdf</t>
        </is>
      </c>
      <c r="B2" s="2" t="inlineStr">
        <is>
          <t>/mnt/data/AGVG_DexaScan Sept 25.pdf</t>
        </is>
      </c>
    </row>
    <row r="3">
      <c r="A3" s="2" t="inlineStr">
        <is>
          <t>DEXA 11 25.pdf</t>
        </is>
      </c>
      <c r="B3" s="2" t="inlineStr">
        <is>
          <t>/mnt/data/DEXA 11 25.pdf</t>
        </is>
      </c>
    </row>
    <row r="4">
      <c r="A4" s="2" t="inlineStr">
        <is>
          <t>dexas scan 16 01 26.pdf</t>
        </is>
      </c>
      <c r="B4" s="2" t="inlineStr">
        <is>
          <t>/mnt/data/dexas scan 16 01 26.pdf</t>
        </is>
      </c>
    </row>
    <row r="5">
      <c r="A5" s="2" t="inlineStr">
        <is>
          <t>Strength Testing Results.png</t>
        </is>
      </c>
      <c r="B5" s="2" t="inlineStr">
        <is>
          <t>/mnt/data/Strength Testing Results.png</t>
        </is>
      </c>
    </row>
    <row r="6" ht="30" customHeight="1" s="15">
      <c r="A6" s="2" t="inlineStr">
        <is>
          <t>Andres_YMCA_5day_program_UPDATED_2025-11-05_corefixed_TU_legraises.xlsx</t>
        </is>
      </c>
      <c r="B6" s="2" t="inlineStr">
        <is>
          <t>/mnt/data/Andres_YMCA_5day_program_UPDATED_2025-11-05_corefixed_TU_legraises.xlsx</t>
        </is>
      </c>
    </row>
    <row r="7">
      <c r="A7" s="2" t="inlineStr">
        <is>
          <t>YMCA.docx</t>
        </is>
      </c>
      <c r="B7" s="2" t="inlineStr">
        <is>
          <t>/mnt/data/YMCA.docx</t>
        </is>
      </c>
    </row>
    <row r="8" ht="30" customHeight="1" s="15">
      <c r="A8" s="2" t="inlineStr">
        <is>
          <t>Andres_YMCA_5day_program_UPDATED_2025-11-05_corefixed_TU_legraises.pdf</t>
        </is>
      </c>
      <c r="B8" s="2" t="inlineStr">
        <is>
          <t>/mnt/data/Andres_YMCA_5day_program_UPDATED_2025-11-05_corefixed_TU_legraises.pdf</t>
        </is>
      </c>
    </row>
    <row r="9">
      <c r="A9" s="2" t="inlineStr">
        <is>
          <t>ISU workout 1.jpeg</t>
        </is>
      </c>
      <c r="B9" s="2" t="inlineStr">
        <is>
          <t>/mnt/data/ISU workout 1.jpeg</t>
        </is>
      </c>
    </row>
    <row r="10">
      <c r="A10" s="2" t="inlineStr">
        <is>
          <t>ISU workout 2.jpeg</t>
        </is>
      </c>
      <c r="B10" s="2" t="inlineStr">
        <is>
          <t>/mnt/data/ISU workout 2.jpeg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5" min="1" max="1"/>
    <col width="45" customWidth="1" style="15" min="2" max="2"/>
    <col width="28" customWidth="1" style="15" min="3" max="3"/>
    <col width="44" customWidth="1" style="15" min="4" max="4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</row>
    <row r="2">
      <c r="A2" s="2" t="inlineStr">
        <is>
          <t>Day</t>
        </is>
      </c>
      <c r="B2" s="2" t="inlineStr">
        <is>
          <t>Run</t>
        </is>
      </c>
      <c r="C2" s="2" t="inlineStr">
        <is>
          <t>Strength Focus</t>
        </is>
      </c>
      <c r="D2" s="2" t="inlineStr">
        <is>
          <t>Notes</t>
        </is>
      </c>
    </row>
    <row r="3">
      <c r="A3" s="2" t="inlineStr">
        <is>
          <t>Monday</t>
        </is>
      </c>
      <c r="B3" s="2" t="inlineStr">
        <is>
          <t>Speed intervals, 30 min</t>
        </is>
      </c>
      <c r="C3" s="2" t="inlineStr">
        <is>
          <t>Upper Push</t>
        </is>
      </c>
      <c r="D3" s="2" t="inlineStr">
        <is>
          <t>Run first, then lift</t>
        </is>
      </c>
    </row>
    <row r="4">
      <c r="A4" s="2" t="inlineStr">
        <is>
          <t>Tuesday</t>
        </is>
      </c>
      <c r="B4" s="2" t="inlineStr">
        <is>
          <t>None</t>
        </is>
      </c>
      <c r="C4" s="2" t="inlineStr">
        <is>
          <t>Legs (knee-dominant)</t>
        </is>
      </c>
      <c r="D4" s="2" t="inlineStr">
        <is>
          <t>Full 60 min strength</t>
        </is>
      </c>
    </row>
    <row r="5" ht="30" customHeight="1" s="15">
      <c r="A5" s="2" t="inlineStr">
        <is>
          <t>Wednesday</t>
        </is>
      </c>
      <c r="B5" s="2" t="inlineStr">
        <is>
          <t>Easy aerobic, 30 min</t>
        </is>
      </c>
      <c r="C5" s="2" t="inlineStr">
        <is>
          <t>Upper Pull</t>
        </is>
      </c>
      <c r="D5" s="2" t="inlineStr">
        <is>
          <t>Conversational pace</t>
        </is>
      </c>
    </row>
    <row r="6">
      <c r="A6" s="2" t="inlineStr">
        <is>
          <t>Thursday</t>
        </is>
      </c>
      <c r="B6" s="2" t="inlineStr">
        <is>
          <t>None</t>
        </is>
      </c>
      <c r="C6" s="2" t="inlineStr">
        <is>
          <t>Legs (hip-dominant)</t>
        </is>
      </c>
      <c r="D6" s="2" t="inlineStr">
        <is>
          <t>Full 60 min strength</t>
        </is>
      </c>
    </row>
    <row r="7">
      <c r="A7" s="2" t="inlineStr">
        <is>
          <t>Friday</t>
        </is>
      </c>
      <c r="B7" s="2" t="inlineStr">
        <is>
          <t>Long run, start 30 min then ramp to 45 → 60</t>
        </is>
      </c>
      <c r="C7" s="2" t="inlineStr">
        <is>
          <t>Torso, shoulders, and core</t>
        </is>
      </c>
      <c r="D7" s="2" t="inlineStr">
        <is>
          <t>Keep 30 min strength even as the run grows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5" min="1" max="1"/>
    <col width="10" customWidth="1" style="15" min="2" max="2"/>
    <col width="24" customWidth="1" style="15" min="3" max="3"/>
    <col width="48" customWidth="1" style="15" min="4" max="4"/>
    <col width="32" customWidth="1" style="15" min="5" max="5"/>
    <col width="10" customWidth="1" style="15" min="6" max="6"/>
    <col width="26" customWidth="1" style="15" min="7" max="7"/>
    <col width="48" customWidth="1" style="15" min="8" max="8"/>
    <col width="29" customWidth="1" style="15" min="9" max="9"/>
    <col width="26" customWidth="1" style="15" min="10" max="10"/>
    <col width="47" customWidth="1" style="15" min="11" max="11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</row>
    <row r="2">
      <c r="A2" s="2" t="inlineStr">
        <is>
          <t>Day</t>
        </is>
      </c>
      <c r="B2" s="2" t="inlineStr">
        <is>
          <t>Block</t>
        </is>
      </c>
      <c r="C2" s="2" t="inlineStr">
        <is>
          <t>Exercise</t>
        </is>
      </c>
      <c r="D2" s="2" t="inlineStr">
        <is>
          <t>Machine/Primary Option</t>
        </is>
      </c>
      <c r="E2" s="2" t="inlineStr">
        <is>
          <t>DB/Alt Option</t>
        </is>
      </c>
      <c r="F2" s="2" t="inlineStr">
        <is>
          <t>Sets</t>
        </is>
      </c>
      <c r="G2" s="2" t="inlineStr">
        <is>
          <t>Reps Target</t>
        </is>
      </c>
      <c r="H2" s="2" t="inlineStr">
        <is>
          <t>Starting Load</t>
        </is>
      </c>
      <c r="I2" s="2" t="inlineStr">
        <is>
          <t>Tempo</t>
        </is>
      </c>
      <c r="J2" s="2" t="inlineStr">
        <is>
          <t>Rest</t>
        </is>
      </c>
      <c r="K2" s="2" t="inlineStr">
        <is>
          <t>Notes</t>
        </is>
      </c>
    </row>
    <row r="3">
      <c r="A3" s="2" t="inlineStr">
        <is>
          <t>Monday</t>
        </is>
      </c>
      <c r="B3" s="2" t="inlineStr">
        <is>
          <t>A</t>
        </is>
      </c>
      <c r="C3" s="2" t="inlineStr">
        <is>
          <t>Chest Press</t>
        </is>
      </c>
      <c r="D3" s="2" t="inlineStr">
        <is>
          <t>Technogym Chest Press</t>
        </is>
      </c>
      <c r="E3" s="2" t="inlineStr">
        <is>
          <t>DB Flat Press</t>
        </is>
      </c>
      <c r="F3" s="2" t="inlineStr">
        <is>
          <t>3</t>
        </is>
      </c>
      <c r="G3" s="2" t="inlineStr">
        <is>
          <t>8–12</t>
        </is>
      </c>
      <c r="H3" s="2" t="inlineStr">
        <is>
          <t>120 lb</t>
        </is>
      </c>
      <c r="I3" s="2" t="inlineStr">
        <is>
          <t>2-0-2</t>
        </is>
      </c>
      <c r="J3" s="2" t="inlineStr">
        <is>
          <t>60–90 s</t>
        </is>
      </c>
      <c r="K3" s="2" t="inlineStr">
        <is>
          <t>Add load when 3x12 done clean</t>
        </is>
      </c>
    </row>
    <row r="4" ht="30" customHeight="1" s="15">
      <c r="A4" s="2" t="inlineStr">
        <is>
          <t>Monday</t>
        </is>
      </c>
      <c r="B4" s="2" t="inlineStr">
        <is>
          <t>A</t>
        </is>
      </c>
      <c r="C4" s="2" t="inlineStr">
        <is>
          <t>Row (balance)</t>
        </is>
      </c>
      <c r="D4" s="2" t="inlineStr">
        <is>
          <t>Technogym Seated Row</t>
        </is>
      </c>
      <c r="E4" s="2" t="inlineStr">
        <is>
          <t>Chest-supported DB Row</t>
        </is>
      </c>
      <c r="F4" s="2" t="inlineStr">
        <is>
          <t>3</t>
        </is>
      </c>
      <c r="G4" s="2" t="inlineStr">
        <is>
          <t>8–12</t>
        </is>
      </c>
      <c r="H4" s="2" t="inlineStr">
        <is>
          <t>TBD on first use; pick a weight that allows 8–12 reps with 1–2 reps in reserve on the final set.</t>
        </is>
      </c>
      <c r="I4" s="2" t="inlineStr">
        <is>
          <t>2-1-2</t>
        </is>
      </c>
      <c r="J4" s="2" t="inlineStr">
        <is>
          <t>60–90 s</t>
        </is>
      </c>
      <c r="K4" s="2" t="inlineStr">
        <is>
          <t>Scapula toward back pockets</t>
        </is>
      </c>
    </row>
    <row r="5" ht="30" customHeight="1" s="15">
      <c r="A5" s="2" t="inlineStr">
        <is>
          <t>Monday</t>
        </is>
      </c>
      <c r="B5" s="2" t="inlineStr">
        <is>
          <t>B</t>
        </is>
      </c>
      <c r="C5" s="2" t="inlineStr">
        <is>
          <t>Incline Press</t>
        </is>
      </c>
      <c r="D5" s="2" t="inlineStr">
        <is>
          <t>Incline Press (if available)</t>
        </is>
      </c>
      <c r="E5" s="2" t="inlineStr">
        <is>
          <t>DB Incline Press</t>
        </is>
      </c>
      <c r="F5" s="2" t="inlineStr">
        <is>
          <t>3</t>
        </is>
      </c>
      <c r="G5" s="2" t="inlineStr">
        <is>
          <t>8–12</t>
        </is>
      </c>
      <c r="H5" s="2" t="inlineStr">
        <is>
          <t>TBD on first use; pick a weight that allows 8–12 reps with 1–2 reps in reserve on the final set.</t>
        </is>
      </c>
      <c r="I5" s="2" t="inlineStr">
        <is>
          <t>2-0-2</t>
        </is>
      </c>
      <c r="J5" s="2" t="inlineStr">
        <is>
          <t>60–90 s</t>
        </is>
      </c>
      <c r="K5" s="2" t="inlineStr">
        <is>
          <t>Low incline if shoulder sensitive</t>
        </is>
      </c>
    </row>
    <row r="6" ht="30" customHeight="1" s="15">
      <c r="A6" s="2" t="inlineStr">
        <is>
          <t>Monday</t>
        </is>
      </c>
      <c r="B6" s="2" t="inlineStr">
        <is>
          <t>B</t>
        </is>
      </c>
      <c r="C6" s="2" t="inlineStr">
        <is>
          <t>Face Pull / ER</t>
        </is>
      </c>
      <c r="D6" s="2" t="inlineStr">
        <is>
          <t>Cable Face Pull</t>
        </is>
      </c>
      <c r="E6" s="2" t="inlineStr">
        <is>
          <t>Band External Rotation</t>
        </is>
      </c>
      <c r="F6" s="2" t="inlineStr">
        <is>
          <t>3</t>
        </is>
      </c>
      <c r="G6" s="2" t="inlineStr">
        <is>
          <t>12–15</t>
        </is>
      </c>
      <c r="H6" s="2" t="inlineStr">
        <is>
          <t>TBD on first use; pick a weight that allows 8–12 reps with 1–2 reps in reserve on the final set.</t>
        </is>
      </c>
      <c r="I6" s="2" t="inlineStr">
        <is>
          <t>2-1-2</t>
        </is>
      </c>
      <c r="J6" s="2" t="inlineStr">
        <is>
          <t>45–60 s</t>
        </is>
      </c>
      <c r="K6" s="2" t="inlineStr">
        <is>
          <t>Elbows high, hit rear delts/rotator cuff</t>
        </is>
      </c>
    </row>
    <row r="7" ht="30" customHeight="1" s="15">
      <c r="A7" s="2" t="inlineStr">
        <is>
          <t>Monday</t>
        </is>
      </c>
      <c r="B7" s="2" t="inlineStr">
        <is>
          <t>C</t>
        </is>
      </c>
      <c r="C7" s="2" t="inlineStr">
        <is>
          <t>Shoulder Press</t>
        </is>
      </c>
      <c r="D7" s="2" t="inlineStr">
        <is>
          <t>Technogym Shoulder Press</t>
        </is>
      </c>
      <c r="E7" s="2" t="inlineStr">
        <is>
          <t>DB Shoulder Press</t>
        </is>
      </c>
      <c r="F7" s="2" t="inlineStr">
        <is>
          <t>2</t>
        </is>
      </c>
      <c r="G7" s="2" t="inlineStr">
        <is>
          <t>8–12</t>
        </is>
      </c>
      <c r="H7" s="2" t="inlineStr">
        <is>
          <t>TBD on first use; pick a weight that allows 8–12 reps with 1–2 reps in reserve on the final set.</t>
        </is>
      </c>
      <c r="I7" s="2" t="inlineStr">
        <is>
          <t>2-0-2</t>
        </is>
      </c>
      <c r="J7" s="2" t="inlineStr">
        <is>
          <t>60 s</t>
        </is>
      </c>
      <c r="K7" s="2" t="inlineStr">
        <is>
          <t>Neutral grip if neck or shoulders feel tight</t>
        </is>
      </c>
    </row>
    <row r="8">
      <c r="A8" s="2" t="inlineStr">
        <is>
          <t>Monday</t>
        </is>
      </c>
      <c r="B8" s="2" t="inlineStr">
        <is>
          <t>C</t>
        </is>
      </c>
      <c r="C8" s="2" t="inlineStr">
        <is>
          <t>Triceps Overhead</t>
        </is>
      </c>
      <c r="D8" s="2" t="inlineStr">
        <is>
          <t>Cable Overhead Extension</t>
        </is>
      </c>
      <c r="E8" s="2" t="inlineStr">
        <is>
          <t>DB Overhead Triceps</t>
        </is>
      </c>
      <c r="F8" s="2" t="inlineStr">
        <is>
          <t>2</t>
        </is>
      </c>
      <c r="G8" s="2" t="inlineStr">
        <is>
          <t>8–12</t>
        </is>
      </c>
      <c r="H8" s="2" t="inlineStr">
        <is>
          <t>30 lb DB</t>
        </is>
      </c>
      <c r="I8" s="2" t="inlineStr">
        <is>
          <t>2-0-2</t>
        </is>
      </c>
      <c r="J8" s="2" t="inlineStr">
        <is>
          <t>45–60 s</t>
        </is>
      </c>
      <c r="K8" s="2" t="inlineStr">
        <is>
          <t>Smooth lockout</t>
        </is>
      </c>
    </row>
    <row r="9">
      <c r="A9" s="2" t="inlineStr">
        <is>
          <t>Tuesday</t>
        </is>
      </c>
      <c r="B9" s="2" t="inlineStr">
        <is>
          <t>A</t>
        </is>
      </c>
      <c r="C9" s="2" t="inlineStr">
        <is>
          <t>Leg Press or Squat</t>
        </is>
      </c>
      <c r="D9" s="2" t="inlineStr">
        <is>
          <t>Technogym Leg Press</t>
        </is>
      </c>
      <c r="E9" s="2" t="inlineStr">
        <is>
          <t>Goblet Squat</t>
        </is>
      </c>
      <c r="F9" s="2" t="inlineStr">
        <is>
          <t>3</t>
        </is>
      </c>
      <c r="G9" s="2" t="inlineStr">
        <is>
          <t>8–12</t>
        </is>
      </c>
      <c r="H9" s="2" t="inlineStr">
        <is>
          <t>25 lb DB for goblet</t>
        </is>
      </c>
      <c r="I9" s="2" t="inlineStr">
        <is>
          <t>2-1-2</t>
        </is>
      </c>
      <c r="J9" s="2" t="inlineStr">
        <is>
          <t>60–90 s</t>
        </is>
      </c>
      <c r="K9" s="2" t="inlineStr">
        <is>
          <t>Heels down, full range</t>
        </is>
      </c>
    </row>
    <row r="10" ht="30" customHeight="1" s="15">
      <c r="A10" s="2" t="inlineStr">
        <is>
          <t>Tuesday</t>
        </is>
      </c>
      <c r="B10" s="2" t="inlineStr">
        <is>
          <t>A</t>
        </is>
      </c>
      <c r="C10" s="2" t="inlineStr">
        <is>
          <t>Calf Raise (bent-knee)</t>
        </is>
      </c>
      <c r="D10" s="2" t="inlineStr">
        <is>
          <t>Seated Calf Raise</t>
        </is>
      </c>
      <c r="E10" s="2" t="inlineStr">
        <is>
          <t>DB Seated Calf</t>
        </is>
      </c>
      <c r="F10" s="2" t="inlineStr">
        <is>
          <t>3</t>
        </is>
      </c>
      <c r="G10" s="2" t="inlineStr">
        <is>
          <t>10–15</t>
        </is>
      </c>
      <c r="H10" s="2" t="inlineStr">
        <is>
          <t>TBD on first use; pick a weight that allows 8–12 reps with 1–2 reps in reserve on the final set.</t>
        </is>
      </c>
      <c r="I10" s="2" t="inlineStr">
        <is>
          <t>2-1-2</t>
        </is>
      </c>
      <c r="J10" s="2" t="inlineStr">
        <is>
          <t>45–60 s</t>
        </is>
      </c>
      <c r="K10" s="2" t="inlineStr">
        <is>
          <t>Targets soleus for running resilience</t>
        </is>
      </c>
    </row>
    <row r="11" ht="30" customHeight="1" s="15">
      <c r="A11" s="2" t="inlineStr">
        <is>
          <t>Tuesday</t>
        </is>
      </c>
      <c r="B11" s="2" t="inlineStr">
        <is>
          <t>B</t>
        </is>
      </c>
      <c r="C11" s="2" t="inlineStr">
        <is>
          <t>Split Squat / Lunge</t>
        </is>
      </c>
      <c r="D11" s="2" t="inlineStr">
        <is>
          <t>Smith Split Squat (optional)</t>
        </is>
      </c>
      <c r="E11" s="2" t="inlineStr">
        <is>
          <t>DB Split Squat</t>
        </is>
      </c>
      <c r="F11" s="2" t="inlineStr">
        <is>
          <t>3</t>
        </is>
      </c>
      <c r="G11" s="2" t="inlineStr">
        <is>
          <t>8–12/leg</t>
        </is>
      </c>
      <c r="H11" s="2" t="inlineStr">
        <is>
          <t>TBD on first use; pick a weight that allows 8–12 reps with 1–2 reps in reserve on the final set.</t>
        </is>
      </c>
      <c r="I11" s="2" t="inlineStr">
        <is>
          <t>2-1-2</t>
        </is>
      </c>
      <c r="J11" s="2" t="inlineStr">
        <is>
          <t>60–90 s</t>
        </is>
      </c>
      <c r="K11" s="2" t="inlineStr">
        <is>
          <t>Knee travels over toes comfortably</t>
        </is>
      </c>
    </row>
    <row r="12">
      <c r="A12" s="2" t="inlineStr">
        <is>
          <t>Tuesday</t>
        </is>
      </c>
      <c r="B12" s="2" t="inlineStr">
        <is>
          <t>B</t>
        </is>
      </c>
      <c r="C12" s="2" t="inlineStr">
        <is>
          <t>Leg Extension</t>
        </is>
      </c>
      <c r="D12" s="2" t="inlineStr">
        <is>
          <t>Technogym Leg Extension</t>
        </is>
      </c>
      <c r="E12" s="2" t="inlineStr">
        <is>
          <t>—</t>
        </is>
      </c>
      <c r="F12" s="2" t="inlineStr">
        <is>
          <t>3</t>
        </is>
      </c>
      <c r="G12" s="2" t="inlineStr">
        <is>
          <t>10–12</t>
        </is>
      </c>
      <c r="H12" s="2" t="inlineStr">
        <is>
          <t>100 lb</t>
        </is>
      </c>
      <c r="I12" s="2" t="inlineStr">
        <is>
          <t>2-1-2</t>
        </is>
      </c>
      <c r="J12" s="2" t="inlineStr">
        <is>
          <t>45–60 s</t>
        </is>
      </c>
      <c r="K12" s="2" t="inlineStr">
        <is>
          <t>Control the top, do not slam</t>
        </is>
      </c>
    </row>
    <row r="13">
      <c r="A13" s="2" t="inlineStr">
        <is>
          <t>Tuesday</t>
        </is>
      </c>
      <c r="B13" s="2" t="inlineStr">
        <is>
          <t>Finisher</t>
        </is>
      </c>
      <c r="C13" s="2" t="inlineStr">
        <is>
          <t>Core + Swings</t>
        </is>
      </c>
      <c r="D13" s="2" t="inlineStr">
        <is>
          <t>Leg Raises / Hanging or Bench</t>
        </is>
      </c>
      <c r="E13" s="2" t="inlineStr">
        <is>
          <t>KB Swing</t>
        </is>
      </c>
      <c r="F13" s="2" t="inlineStr">
        <is>
          <t>3 + 2</t>
        </is>
      </c>
      <c r="G13" s="2" t="inlineStr">
        <is>
          <t>3 x 15–20; 10–15 swings</t>
        </is>
      </c>
      <c r="H13" s="2" t="inlineStr">
        <is>
          <t>Bodyweight; 15 lb KB</t>
        </is>
      </c>
      <c r="I13" s="2" t="inlineStr">
        <is>
          <t>Controlled; explosive hinge</t>
        </is>
      </c>
      <c r="J13" s="2" t="inlineStr">
        <is>
          <t>30–45 s</t>
        </is>
      </c>
      <c r="K13" s="2" t="inlineStr">
        <is>
          <t>Match night reps; keep swings crisp</t>
        </is>
      </c>
    </row>
    <row r="14" ht="30" customHeight="1" s="15">
      <c r="A14" s="2" t="inlineStr">
        <is>
          <t>Wednesday</t>
        </is>
      </c>
      <c r="B14" s="2" t="inlineStr">
        <is>
          <t>A</t>
        </is>
      </c>
      <c r="C14" s="2" t="inlineStr">
        <is>
          <t>Assisted Pull-up</t>
        </is>
      </c>
      <c r="D14" s="2" t="inlineStr">
        <is>
          <t>Assisted Chin/Dip</t>
        </is>
      </c>
      <c r="E14" s="2" t="inlineStr">
        <is>
          <t>Neutral-Grip Pulldown</t>
        </is>
      </c>
      <c r="F14" s="2" t="inlineStr">
        <is>
          <t>3</t>
        </is>
      </c>
      <c r="G14" s="2" t="inlineStr">
        <is>
          <t>6–10</t>
        </is>
      </c>
      <c r="H14" s="2" t="inlineStr">
        <is>
          <t>Set1: assist 85 lb x10; Set2: assist 45 lb x7; Set3: assist 45 lb x6</t>
        </is>
      </c>
      <c r="I14" s="2" t="inlineStr">
        <is>
          <t>2-1-2</t>
        </is>
      </c>
      <c r="J14" s="2" t="inlineStr">
        <is>
          <t>90 s</t>
        </is>
      </c>
      <c r="K14" s="2" t="inlineStr">
        <is>
          <t>Progress by reducing assist when you hit 3x8+</t>
        </is>
      </c>
    </row>
    <row r="15" ht="30" customHeight="1" s="15">
      <c r="A15" s="2" t="inlineStr">
        <is>
          <t>Wednesday</t>
        </is>
      </c>
      <c r="B15" s="2" t="inlineStr">
        <is>
          <t>A</t>
        </is>
      </c>
      <c r="C15" s="2" t="inlineStr">
        <is>
          <t>Pulldown / Row</t>
        </is>
      </c>
      <c r="D15" s="2" t="inlineStr">
        <is>
          <t>Technogym Lat Pulldown</t>
        </is>
      </c>
      <c r="E15" s="2" t="inlineStr">
        <is>
          <t>Single-Arm Cable Row</t>
        </is>
      </c>
      <c r="F15" s="2" t="inlineStr">
        <is>
          <t>3</t>
        </is>
      </c>
      <c r="G15" s="2" t="inlineStr">
        <is>
          <t>8–12</t>
        </is>
      </c>
      <c r="H15" s="2" t="inlineStr">
        <is>
          <t>TBD on first use; pick a weight that allows 8–12 reps with 1–2 reps in reserve on the final set.</t>
        </is>
      </c>
      <c r="I15" s="2" t="inlineStr">
        <is>
          <t>2-1-2</t>
        </is>
      </c>
      <c r="J15" s="2" t="inlineStr">
        <is>
          <t>60–90 s</t>
        </is>
      </c>
      <c r="K15" s="2" t="inlineStr">
        <is>
          <t>Chest up, elbows to ribs</t>
        </is>
      </c>
    </row>
    <row r="16" ht="30" customHeight="1" s="15">
      <c r="A16" s="2" t="inlineStr">
        <is>
          <t>Wednesday</t>
        </is>
      </c>
      <c r="B16" s="2" t="inlineStr">
        <is>
          <t>B</t>
        </is>
      </c>
      <c r="C16" s="2" t="inlineStr">
        <is>
          <t>Rear Delt Fly</t>
        </is>
      </c>
      <c r="D16" s="2" t="inlineStr">
        <is>
          <t>Reverse Pec Deck</t>
        </is>
      </c>
      <c r="E16" s="2" t="inlineStr">
        <is>
          <t>DB Reverse Fly (incline bench)</t>
        </is>
      </c>
      <c r="F16" s="2" t="inlineStr">
        <is>
          <t>2–3</t>
        </is>
      </c>
      <c r="G16" s="2" t="inlineStr">
        <is>
          <t>12–15</t>
        </is>
      </c>
      <c r="H16" s="2" t="inlineStr">
        <is>
          <t>TBD on first use; pick a weight that allows 8–12 reps with 1–2 reps in reserve on the final set.</t>
        </is>
      </c>
      <c r="I16" s="2" t="inlineStr">
        <is>
          <t>2-1-2</t>
        </is>
      </c>
      <c r="J16" s="2" t="inlineStr">
        <is>
          <t>45–60 s</t>
        </is>
      </c>
      <c r="K16" s="2" t="inlineStr">
        <is>
          <t>Light, perfect control</t>
        </is>
      </c>
    </row>
    <row r="17" ht="30" customHeight="1" s="15">
      <c r="A17" s="2" t="inlineStr">
        <is>
          <t>Wednesday</t>
        </is>
      </c>
      <c r="B17" s="2" t="inlineStr">
        <is>
          <t>B</t>
        </is>
      </c>
      <c r="C17" s="2" t="inlineStr">
        <is>
          <t>Biceps Curl</t>
        </is>
      </c>
      <c r="D17" s="2" t="inlineStr">
        <is>
          <t>Cable EZ Curl</t>
        </is>
      </c>
      <c r="E17" s="2" t="inlineStr">
        <is>
          <t>DB Curl</t>
        </is>
      </c>
      <c r="F17" s="2" t="inlineStr">
        <is>
          <t>3</t>
        </is>
      </c>
      <c r="G17" s="2" t="inlineStr">
        <is>
          <t>8–12</t>
        </is>
      </c>
      <c r="H17" s="2" t="inlineStr">
        <is>
          <t>TBD on first use; pick a weight that allows 8–12 reps with 1–2 reps in reserve on the final set.</t>
        </is>
      </c>
      <c r="I17" s="2" t="inlineStr">
        <is>
          <t>2-0-2</t>
        </is>
      </c>
      <c r="J17" s="2" t="inlineStr">
        <is>
          <t>45–60 s</t>
        </is>
      </c>
      <c r="K17" s="2" t="inlineStr">
        <is>
          <t>No sway, full elbow extension</t>
        </is>
      </c>
    </row>
    <row r="18" ht="30" customHeight="1" s="15">
      <c r="A18" s="2" t="inlineStr">
        <is>
          <t>Thursday</t>
        </is>
      </c>
      <c r="B18" s="2" t="inlineStr">
        <is>
          <t>A</t>
        </is>
      </c>
      <c r="C18" s="2" t="inlineStr">
        <is>
          <t>Romanian Deadlift</t>
        </is>
      </c>
      <c r="D18" s="2" t="inlineStr">
        <is>
          <t>Smith RDL (optional)</t>
        </is>
      </c>
      <c r="E18" s="2" t="inlineStr">
        <is>
          <t>DB RDL</t>
        </is>
      </c>
      <c r="F18" s="2" t="inlineStr">
        <is>
          <t>3</t>
        </is>
      </c>
      <c r="G18" s="2" t="inlineStr">
        <is>
          <t>8–12</t>
        </is>
      </c>
      <c r="H18" s="2" t="inlineStr">
        <is>
          <t>TBD on first use; pick a weight that allows 8–12 reps with 1–2 reps in reserve on the final set.</t>
        </is>
      </c>
      <c r="I18" s="2" t="inlineStr">
        <is>
          <t>3-1-2</t>
        </is>
      </c>
      <c r="J18" s="2" t="inlineStr">
        <is>
          <t>60–90 s</t>
        </is>
      </c>
      <c r="K18" s="2" t="inlineStr">
        <is>
          <t>Hinge, flat back, hamstrings loaded</t>
        </is>
      </c>
    </row>
    <row r="19" ht="30" customHeight="1" s="15">
      <c r="A19" s="2" t="inlineStr">
        <is>
          <t>Thursday</t>
        </is>
      </c>
      <c r="B19" s="2" t="inlineStr">
        <is>
          <t>A</t>
        </is>
      </c>
      <c r="C19" s="2" t="inlineStr">
        <is>
          <t>Hamstring Curl</t>
        </is>
      </c>
      <c r="D19" s="2" t="inlineStr">
        <is>
          <t>Seated/Lying Leg Curl</t>
        </is>
      </c>
      <c r="E19" s="2" t="inlineStr">
        <is>
          <t>Swiss Ball Ham Curl</t>
        </is>
      </c>
      <c r="F19" s="2" t="inlineStr">
        <is>
          <t>3</t>
        </is>
      </c>
      <c r="G19" s="2" t="inlineStr">
        <is>
          <t>10–12</t>
        </is>
      </c>
      <c r="H19" s="2" t="inlineStr">
        <is>
          <t>TBD on first use; pick a weight that allows 8–12 reps with 1–2 reps in reserve on the final set.</t>
        </is>
      </c>
      <c r="I19" s="2" t="inlineStr">
        <is>
          <t>3-0-2</t>
        </is>
      </c>
      <c r="J19" s="2" t="inlineStr">
        <is>
          <t>60–90 s</t>
        </is>
      </c>
      <c r="K19" s="2" t="inlineStr">
        <is>
          <t>Slow eccentric</t>
        </is>
      </c>
    </row>
    <row r="20" ht="30" customHeight="1" s="15">
      <c r="A20" s="2" t="inlineStr">
        <is>
          <t>Thursday</t>
        </is>
      </c>
      <c r="B20" s="2" t="inlineStr">
        <is>
          <t>B</t>
        </is>
      </c>
      <c r="C20" s="2" t="inlineStr">
        <is>
          <t>Hip Thrust / Bridge</t>
        </is>
      </c>
      <c r="D20" s="2" t="inlineStr">
        <is>
          <t>Hip Thrust Machine / Smith</t>
        </is>
      </c>
      <c r="E20" s="2" t="inlineStr">
        <is>
          <t>Barbell/DB Glute Bridge</t>
        </is>
      </c>
      <c r="F20" s="2" t="inlineStr">
        <is>
          <t>3</t>
        </is>
      </c>
      <c r="G20" s="2" t="inlineStr">
        <is>
          <t>8–12</t>
        </is>
      </c>
      <c r="H20" s="2" t="inlineStr">
        <is>
          <t>TBD on first use; pick a weight that allows 8–12 reps with 1–2 reps in reserve on the final set.</t>
        </is>
      </c>
      <c r="I20" s="2" t="inlineStr">
        <is>
          <t>2-1-2</t>
        </is>
      </c>
      <c r="J20" s="2" t="inlineStr">
        <is>
          <t>60–90 s</t>
        </is>
      </c>
      <c r="K20" s="2" t="inlineStr">
        <is>
          <t>Pause at top, ribs down</t>
        </is>
      </c>
    </row>
    <row r="21" ht="30" customHeight="1" s="15">
      <c r="A21" s="2" t="inlineStr">
        <is>
          <t>Thursday</t>
        </is>
      </c>
      <c r="B21" s="2" t="inlineStr">
        <is>
          <t>B</t>
        </is>
      </c>
      <c r="C21" s="2" t="inlineStr">
        <is>
          <t>Lateral Hip / Calf</t>
        </is>
      </c>
      <c r="D21" s="2" t="inlineStr">
        <is>
          <t>Hip Abductor + Eccentric Calf</t>
        </is>
      </c>
      <c r="E21" s="2" t="inlineStr">
        <is>
          <t>Banded Lateral Steps + DB Calf</t>
        </is>
      </c>
      <c r="F21" s="2" t="inlineStr">
        <is>
          <t>2 + 2</t>
        </is>
      </c>
      <c r="G21" s="2" t="inlineStr">
        <is>
          <t>12–15; 10–12 slow lowers</t>
        </is>
      </c>
      <c r="H21" s="2" t="inlineStr">
        <is>
          <t>TBD on first use; pick a weight that allows 8–12 reps with 1–2 reps in reserve on the final set.</t>
        </is>
      </c>
      <c r="I21" s="2" t="inlineStr">
        <is>
          <t>Controlled</t>
        </is>
      </c>
      <c r="J21" s="2" t="inlineStr">
        <is>
          <t>45–60 s</t>
        </is>
      </c>
      <c r="K21" s="2" t="inlineStr">
        <is>
          <t>Protect knees and Achilles</t>
        </is>
      </c>
    </row>
    <row r="22" ht="30" customHeight="1" s="15">
      <c r="A22" s="2" t="inlineStr">
        <is>
          <t>Friday</t>
        </is>
      </c>
      <c r="B22" s="2" t="inlineStr">
        <is>
          <t>A</t>
        </is>
      </c>
      <c r="C22" s="2" t="inlineStr">
        <is>
          <t>Shoulder Press (light)</t>
        </is>
      </c>
      <c r="D22" s="2" t="inlineStr">
        <is>
          <t>Technogym Shoulder Press</t>
        </is>
      </c>
      <c r="E22" s="2" t="inlineStr">
        <is>
          <t>DB Shoulder Press</t>
        </is>
      </c>
      <c r="F22" s="2" t="inlineStr">
        <is>
          <t>2</t>
        </is>
      </c>
      <c r="G22" s="2" t="inlineStr">
        <is>
          <t>8–12</t>
        </is>
      </c>
      <c r="H22" s="2" t="inlineStr">
        <is>
          <t>TBD on first use; pick a weight that allows 8–12 reps with 1–2 reps in reserve on the final set.</t>
        </is>
      </c>
      <c r="I22" s="2" t="inlineStr">
        <is>
          <t>2-0-2</t>
        </is>
      </c>
      <c r="J22" s="2" t="inlineStr">
        <is>
          <t>45–60 s</t>
        </is>
      </c>
      <c r="K22" s="2" t="inlineStr">
        <is>
          <t>Keep it easy after long run</t>
        </is>
      </c>
    </row>
    <row r="23" ht="30" customHeight="1" s="15">
      <c r="A23" s="2" t="inlineStr">
        <is>
          <t>Friday</t>
        </is>
      </c>
      <c r="B23" s="2" t="inlineStr">
        <is>
          <t>A</t>
        </is>
      </c>
      <c r="C23" s="2" t="inlineStr">
        <is>
          <t>Pec Fly or Cable Fly</t>
        </is>
      </c>
      <c r="D23" s="2" t="inlineStr">
        <is>
          <t>Pec Deck / Cable Fly</t>
        </is>
      </c>
      <c r="E23" s="2" t="inlineStr">
        <is>
          <t>DB Fly (light)</t>
        </is>
      </c>
      <c r="F23" s="2" t="inlineStr">
        <is>
          <t>2</t>
        </is>
      </c>
      <c r="G23" s="2" t="inlineStr">
        <is>
          <t>10–12</t>
        </is>
      </c>
      <c r="H23" s="2" t="inlineStr">
        <is>
          <t>TBD on first use; pick a weight that allows 8–12 reps with 1–2 reps in reserve on the final set.</t>
        </is>
      </c>
      <c r="I23" s="2" t="inlineStr">
        <is>
          <t>2-1-2</t>
        </is>
      </c>
      <c r="J23" s="2" t="inlineStr">
        <is>
          <t>45–60 s</t>
        </is>
      </c>
      <c r="K23" s="2" t="inlineStr">
        <is>
          <t>Short ROM, chest activation</t>
        </is>
      </c>
    </row>
    <row r="24" ht="30" customHeight="1" s="15">
      <c r="A24" s="2" t="inlineStr">
        <is>
          <t>Friday</t>
        </is>
      </c>
      <c r="B24" s="2" t="inlineStr">
        <is>
          <t>B</t>
        </is>
      </c>
      <c r="C24" s="2" t="inlineStr">
        <is>
          <t>Light Row / Face Pull</t>
        </is>
      </c>
      <c r="D24" s="2" t="inlineStr">
        <is>
          <t>Cable Row / Face Pull</t>
        </is>
      </c>
      <c r="E24" s="2" t="inlineStr">
        <is>
          <t>Band Row</t>
        </is>
      </c>
      <c r="F24" s="2" t="inlineStr">
        <is>
          <t>2</t>
        </is>
      </c>
      <c r="G24" s="2" t="inlineStr">
        <is>
          <t>12–15</t>
        </is>
      </c>
      <c r="H24" s="2" t="inlineStr">
        <is>
          <t>TBD on first use; pick a weight that allows 8–12 reps with 1–2 reps in reserve on the final set.</t>
        </is>
      </c>
      <c r="I24" s="2" t="inlineStr">
        <is>
          <t>2-1-2</t>
        </is>
      </c>
      <c r="J24" s="2" t="inlineStr">
        <is>
          <t>45–60 s</t>
        </is>
      </c>
      <c r="K24" s="2" t="inlineStr">
        <is>
          <t>Posture, shoulder health</t>
        </is>
      </c>
    </row>
    <row r="25">
      <c r="A25" s="2" t="inlineStr">
        <is>
          <t>Friday</t>
        </is>
      </c>
      <c r="B25" s="2" t="inlineStr">
        <is>
          <t>B</t>
        </is>
      </c>
      <c r="C25" s="2" t="inlineStr">
        <is>
          <t>Core Trio</t>
        </is>
      </c>
      <c r="D25" s="2" t="inlineStr">
        <is>
          <t>Russian Twists + Hollow/Dead Bug + Suitcase Carry</t>
        </is>
      </c>
      <c r="E25" s="2" t="inlineStr">
        <is>
          <t>—</t>
        </is>
      </c>
      <c r="F25" s="2" t="inlineStr">
        <is>
          <t>3 rounds</t>
        </is>
      </c>
      <c r="G25" s="2" t="inlineStr">
        <is>
          <t>30 s each element</t>
        </is>
      </c>
      <c r="H25" s="2" t="inlineStr">
        <is>
          <t>Bodyweight or light DB for twists</t>
        </is>
      </c>
      <c r="I25" s="2" t="inlineStr">
        <is>
          <t>Controlled</t>
        </is>
      </c>
      <c r="J25" s="2" t="inlineStr">
        <is>
          <t>30–45 s between elements</t>
        </is>
      </c>
      <c r="K25" s="2" t="inlineStr">
        <is>
          <t>Bracing and anti-rotation focus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5" min="1" max="1"/>
    <col width="17" customWidth="1" style="15" min="2" max="2"/>
    <col width="16" customWidth="1" style="15" min="3" max="3"/>
    <col width="33" customWidth="1" style="15" min="4" max="4"/>
    <col width="48" customWidth="1" style="15" min="5" max="5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</row>
    <row r="2">
      <c r="A2" s="2" t="inlineStr">
        <is>
          <t>Day</t>
        </is>
      </c>
      <c r="B2" s="2" t="inlineStr">
        <is>
          <t>Type</t>
        </is>
      </c>
      <c r="C2" s="2" t="inlineStr">
        <is>
          <t>Start Duration</t>
        </is>
      </c>
      <c r="D2" s="2" t="inlineStr">
        <is>
          <t>Structure</t>
        </is>
      </c>
      <c r="E2" s="2" t="inlineStr">
        <is>
          <t>Progression</t>
        </is>
      </c>
    </row>
    <row r="3" ht="30" customHeight="1" s="15">
      <c r="A3" s="2" t="inlineStr">
        <is>
          <t>Monday</t>
        </is>
      </c>
      <c r="B3" s="2" t="inlineStr">
        <is>
          <t>Speed intervals</t>
        </is>
      </c>
      <c r="C3" s="2" t="inlineStr">
        <is>
          <t>30 min</t>
        </is>
      </c>
      <c r="D3" s="2" t="inlineStr">
        <is>
          <t>3 min hard / 2 min easy repeats</t>
        </is>
      </c>
      <c r="E3" s="2" t="inlineStr">
        <is>
          <t>Add one repeat or slightly increase pace every 1–2 weeks</t>
        </is>
      </c>
    </row>
    <row r="4" ht="30" customHeight="1" s="15">
      <c r="A4" s="2" t="inlineStr">
        <is>
          <t>Wednesday</t>
        </is>
      </c>
      <c r="B4" s="2" t="inlineStr">
        <is>
          <t>Easy aerobic</t>
        </is>
      </c>
      <c r="C4" s="2" t="inlineStr">
        <is>
          <t>30 min</t>
        </is>
      </c>
      <c r="D4" s="2" t="inlineStr">
        <is>
          <t>Steady conversational pace</t>
        </is>
      </c>
      <c r="E4" s="2" t="inlineStr">
        <is>
          <t>Keep easy; do not progress for speed</t>
        </is>
      </c>
    </row>
    <row r="5" ht="30" customHeight="1" s="15">
      <c r="A5" s="2" t="inlineStr">
        <is>
          <t>Friday</t>
        </is>
      </c>
      <c r="B5" s="2" t="inlineStr">
        <is>
          <t>Long run</t>
        </is>
      </c>
      <c r="C5" s="2" t="inlineStr">
        <is>
          <t>30 min</t>
        </is>
      </c>
      <c r="D5" s="2" t="inlineStr">
        <is>
          <t>Steady</t>
        </is>
      </c>
      <c r="E5" s="2" t="inlineStr">
        <is>
          <t>When 30 min feels routine for 2 weeks, go to 45 min; later 60 min; keep 30 min strength after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5" min="1" max="1"/>
    <col width="18" customWidth="1" style="15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s="2" t="inlineStr">
        <is>
          <t>Week</t>
        </is>
      </c>
      <c r="B2" s="2" t="inlineStr">
        <is>
          <t>Friday Long Run</t>
        </is>
      </c>
    </row>
    <row r="3">
      <c r="A3" s="2" t="n">
        <v>1</v>
      </c>
      <c r="B3" s="2" t="inlineStr">
        <is>
          <t>30 min</t>
        </is>
      </c>
    </row>
    <row r="4">
      <c r="A4" s="2" t="n">
        <v>2</v>
      </c>
      <c r="B4" s="2" t="inlineStr">
        <is>
          <t>30 min</t>
        </is>
      </c>
    </row>
    <row r="5">
      <c r="A5" s="2" t="n">
        <v>3</v>
      </c>
      <c r="B5" s="2" t="inlineStr">
        <is>
          <t>35 min</t>
        </is>
      </c>
    </row>
    <row r="6">
      <c r="A6" s="2" t="n">
        <v>4</v>
      </c>
      <c r="B6" s="2" t="inlineStr">
        <is>
          <t>40 min</t>
        </is>
      </c>
    </row>
    <row r="7">
      <c r="A7" s="2" t="n">
        <v>5</v>
      </c>
      <c r="B7" s="2" t="inlineStr">
        <is>
          <t>45 min</t>
        </is>
      </c>
    </row>
    <row r="8">
      <c r="A8" s="2" t="n">
        <v>6</v>
      </c>
      <c r="B8" s="2" t="inlineStr">
        <is>
          <t>35 min (cutback)</t>
        </is>
      </c>
    </row>
    <row r="9">
      <c r="A9" s="2" t="n">
        <v>7</v>
      </c>
      <c r="B9" s="2" t="inlineStr">
        <is>
          <t>45 min</t>
        </is>
      </c>
    </row>
    <row r="10">
      <c r="A10" s="2" t="n">
        <v>8</v>
      </c>
      <c r="B10" s="2" t="inlineStr">
        <is>
          <t>50 min</t>
        </is>
      </c>
    </row>
    <row r="11">
      <c r="A11" s="2" t="n">
        <v>9</v>
      </c>
      <c r="B11" s="2" t="inlineStr">
        <is>
          <t>55 min</t>
        </is>
      </c>
    </row>
    <row r="12">
      <c r="A12" s="2" t="n">
        <v>10</v>
      </c>
      <c r="B12" s="2" t="inlineStr">
        <is>
          <t>60 min</t>
        </is>
      </c>
    </row>
    <row r="13">
      <c r="A13" s="2" t="n">
        <v>11</v>
      </c>
      <c r="B13" s="2" t="inlineStr">
        <is>
          <t>45 min (cutback)</t>
        </is>
      </c>
    </row>
    <row r="14">
      <c r="A14" s="2" t="n">
        <v>12</v>
      </c>
      <c r="B14" s="2" t="inlineStr">
        <is>
          <t>60 min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15" min="1" max="1"/>
    <col width="48" customWidth="1" style="15" min="2" max="2"/>
    <col width="29" customWidth="1" style="15" min="3" max="3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</row>
    <row r="2">
      <c r="A2" s="2" t="inlineStr">
        <is>
          <t>Muscle Group</t>
        </is>
      </c>
      <c r="B2" s="2" t="inlineStr">
        <is>
          <t>Primary Lifts</t>
        </is>
      </c>
      <c r="C2" s="2" t="inlineStr">
        <is>
          <t>Frequency</t>
        </is>
      </c>
    </row>
    <row r="3">
      <c r="A3" s="2" t="inlineStr">
        <is>
          <t>Chest</t>
        </is>
      </c>
      <c r="B3" s="2" t="inlineStr">
        <is>
          <t>Chest Press, Incline Press, Fly</t>
        </is>
      </c>
      <c r="C3" s="2" t="inlineStr">
        <is>
          <t>Mon + Fri</t>
        </is>
      </c>
    </row>
    <row r="4">
      <c r="A4" s="2" t="inlineStr">
        <is>
          <t>Back/Lats</t>
        </is>
      </c>
      <c r="B4" s="2" t="inlineStr">
        <is>
          <t>Seated Row, Lat Pulldown, Pull-ups, Face Pull</t>
        </is>
      </c>
      <c r="C4" s="2" t="inlineStr">
        <is>
          <t>Mon + Wed + Fri light</t>
        </is>
      </c>
    </row>
    <row r="5">
      <c r="A5" s="2" t="inlineStr">
        <is>
          <t>Shoulders</t>
        </is>
      </c>
      <c r="B5" s="2" t="inlineStr">
        <is>
          <t>Shoulder Press, Face Pull, Rear Delt Fly</t>
        </is>
      </c>
      <c r="C5" s="2" t="inlineStr">
        <is>
          <t>Mon + Fri (+Wed rear delts)</t>
        </is>
      </c>
    </row>
    <row r="6">
      <c r="A6" s="2" t="inlineStr">
        <is>
          <t>Biceps</t>
        </is>
      </c>
      <c r="B6" s="2" t="inlineStr">
        <is>
          <t>DB/Cable Curls, Pull-ups stimulus</t>
        </is>
      </c>
      <c r="C6" s="2" t="inlineStr">
        <is>
          <t>Wed</t>
        </is>
      </c>
    </row>
    <row r="7">
      <c r="A7" s="2" t="inlineStr">
        <is>
          <t>Triceps</t>
        </is>
      </c>
      <c r="B7" s="2" t="inlineStr">
        <is>
          <t>Overhead Extensions, Press variations</t>
        </is>
      </c>
      <c r="C7" s="2" t="inlineStr">
        <is>
          <t>Mon (+Fri light)</t>
        </is>
      </c>
    </row>
    <row r="8">
      <c r="A8" s="2" t="inlineStr">
        <is>
          <t>Quads</t>
        </is>
      </c>
      <c r="B8" s="2" t="inlineStr">
        <is>
          <t>Leg Press/Squat, Split Squat, Leg Extension</t>
        </is>
      </c>
      <c r="C8" s="2" t="inlineStr">
        <is>
          <t>Tue</t>
        </is>
      </c>
    </row>
    <row r="9">
      <c r="A9" s="2" t="inlineStr">
        <is>
          <t>Hamstrings</t>
        </is>
      </c>
      <c r="B9" s="2" t="inlineStr">
        <is>
          <t>RDL, Hamstring Curl</t>
        </is>
      </c>
      <c r="C9" s="2" t="inlineStr">
        <is>
          <t>Thu</t>
        </is>
      </c>
    </row>
    <row r="10">
      <c r="A10" s="2" t="inlineStr">
        <is>
          <t>Glutes</t>
        </is>
      </c>
      <c r="B10" s="2" t="inlineStr">
        <is>
          <t>Hip Thrust/Bridge, Split Squat</t>
        </is>
      </c>
      <c r="C10" s="2" t="inlineStr">
        <is>
          <t>Thu (+Tue)</t>
        </is>
      </c>
    </row>
    <row r="11">
      <c r="A11" s="2" t="inlineStr">
        <is>
          <t>Calves/Achilles</t>
        </is>
      </c>
      <c r="B11" s="2" t="inlineStr">
        <is>
          <t>Seated Calf, Eccentric Calf</t>
        </is>
      </c>
      <c r="C11" s="2" t="inlineStr">
        <is>
          <t>Tue + Thu</t>
        </is>
      </c>
    </row>
    <row r="12" ht="30" customHeight="1" s="15">
      <c r="A12" s="2" t="inlineStr">
        <is>
          <t>Core/Torso</t>
        </is>
      </c>
      <c r="B12" s="2" t="inlineStr">
        <is>
          <t>Nightly sit-ups and leg raises, plus Friday trio, plus Tuesday in-gym leg raises</t>
        </is>
      </c>
      <c r="C12" s="2" t="inlineStr">
        <is>
          <t>Nightly + Tue + Fri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5" min="1" max="1"/>
    <col width="25" customWidth="1" style="15" min="2" max="2"/>
    <col width="22" customWidth="1" style="15" min="3" max="3"/>
    <col width="40" customWidth="1" style="15" min="4" max="4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</row>
    <row r="2">
      <c r="A2" s="2" t="inlineStr">
        <is>
          <t>Night</t>
        </is>
      </c>
      <c r="B2" s="2" t="inlineStr">
        <is>
          <t>Primary</t>
        </is>
      </c>
      <c r="C2" s="2" t="inlineStr">
        <is>
          <t>Sets x Reps or Time</t>
        </is>
      </c>
      <c r="D2" s="2" t="inlineStr">
        <is>
          <t>Notes</t>
        </is>
      </c>
    </row>
    <row r="3">
      <c r="A3" s="2" t="inlineStr">
        <is>
          <t>Night 1</t>
        </is>
      </c>
      <c r="B3" s="2" t="inlineStr">
        <is>
          <t>Sit-ups or curl-ups</t>
        </is>
      </c>
      <c r="C3" s="2" t="inlineStr">
        <is>
          <t>3 x 15–20</t>
        </is>
      </c>
      <c r="D3" s="2" t="inlineStr">
        <is>
          <t>Slow, do not yank neck</t>
        </is>
      </c>
    </row>
    <row r="4">
      <c r="A4" s="2" t="inlineStr">
        <is>
          <t>Night 2</t>
        </is>
      </c>
      <c r="B4" s="2" t="inlineStr">
        <is>
          <t>Dead bug or front plank</t>
        </is>
      </c>
      <c r="C4" s="2" t="inlineStr">
        <is>
          <t>3 x 30–45 s</t>
        </is>
      </c>
      <c r="D4" s="2" t="inlineStr">
        <is>
          <t>Anti-extension to spare the back</t>
        </is>
      </c>
    </row>
    <row r="5">
      <c r="A5" s="2" t="inlineStr">
        <is>
          <t>Night 3</t>
        </is>
      </c>
      <c r="B5" s="2" t="inlineStr">
        <is>
          <t>Reverse crunch</t>
        </is>
      </c>
      <c r="C5" s="2" t="inlineStr">
        <is>
          <t>3 x 10–12</t>
        </is>
      </c>
      <c r="D5" s="2" t="inlineStr">
        <is>
          <t>Lower abs focus, posterior pelvic tilt</t>
        </is>
      </c>
    </row>
    <row r="6">
      <c r="A6" s="2" t="inlineStr">
        <is>
          <t>Night 4</t>
        </is>
      </c>
      <c r="B6" s="2" t="inlineStr">
        <is>
          <t>Side plank both sides</t>
        </is>
      </c>
      <c r="C6" s="2" t="inlineStr">
        <is>
          <t>3 x 20–40 s per side</t>
        </is>
      </c>
      <c r="D6" s="2" t="inlineStr">
        <is>
          <t>Anti-rotation and obliques</t>
        </is>
      </c>
    </row>
    <row r="7">
      <c r="A7" s="2" t="inlineStr">
        <is>
          <t>Night 5</t>
        </is>
      </c>
      <c r="B7" s="2" t="inlineStr">
        <is>
          <t>Leg raises</t>
        </is>
      </c>
      <c r="C7" s="2" t="inlineStr">
        <is>
          <t>3 x 15–20</t>
        </is>
      </c>
      <c r="D7" s="2" t="inlineStr">
        <is>
          <t>Control the lower, no swing</t>
        </is>
      </c>
    </row>
    <row r="8">
      <c r="A8" s="2" t="inlineStr">
        <is>
          <t>Weekend option</t>
        </is>
      </c>
      <c r="B8" s="2" t="inlineStr">
        <is>
          <t>Rest or mobility</t>
        </is>
      </c>
      <c r="C8" s="2" t="inlineStr">
        <is>
          <t>—</t>
        </is>
      </c>
      <c r="D8" s="2" t="inlineStr">
        <is>
          <t>If sore, skip flexion that night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5" min="1" max="3"/>
    <col width="17" customWidth="1" style="15" min="4" max="6"/>
    <col width="10" customWidth="1" style="15" min="7" max="7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</row>
    <row r="2">
      <c r="A2" s="2" t="inlineStr">
        <is>
          <t>Week</t>
        </is>
      </c>
      <c r="B2" s="2" t="inlineStr">
        <is>
          <t>Day</t>
        </is>
      </c>
      <c r="C2" s="2" t="inlineStr">
        <is>
          <t>Exercise</t>
        </is>
      </c>
      <c r="D2" s="2" t="inlineStr">
        <is>
          <t>Set 1 Load/Reps</t>
        </is>
      </c>
      <c r="E2" s="2" t="inlineStr">
        <is>
          <t>Set 2 Load/Reps</t>
        </is>
      </c>
      <c r="F2" s="2" t="inlineStr">
        <is>
          <t>Set 3 Load/Reps</t>
        </is>
      </c>
      <c r="G2" s="2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76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12" customWidth="1" style="15" min="2" max="2"/>
  </cols>
  <sheetData>
    <row r="1">
      <c r="A1" t="inlineStr">
        <is>
          <t>date</t>
        </is>
      </c>
      <c r="B1" t="inlineStr">
        <is>
          <t>weight_lbs</t>
        </is>
      </c>
    </row>
    <row r="2">
      <c r="A2" s="4" t="n">
        <v>45640</v>
      </c>
      <c r="B2" t="n">
        <v>232</v>
      </c>
    </row>
    <row r="3">
      <c r="A3" s="4" t="n">
        <v>45642</v>
      </c>
      <c r="B3" t="n">
        <v>226.2</v>
      </c>
    </row>
    <row r="4">
      <c r="A4" s="4" t="n">
        <v>45643</v>
      </c>
      <c r="B4" t="n">
        <v>224.2</v>
      </c>
    </row>
    <row r="5">
      <c r="A5" s="4" t="n">
        <v>45643</v>
      </c>
      <c r="B5" t="n">
        <v>225.6</v>
      </c>
    </row>
    <row r="6">
      <c r="A6" s="4" t="n">
        <v>45644</v>
      </c>
      <c r="B6" t="n">
        <v>223.4</v>
      </c>
    </row>
    <row r="7">
      <c r="A7" s="4" t="n">
        <v>45645</v>
      </c>
      <c r="B7" t="n">
        <v>223</v>
      </c>
    </row>
    <row r="8">
      <c r="A8" s="4" t="n">
        <v>45646</v>
      </c>
      <c r="B8" t="n">
        <v>222.4</v>
      </c>
    </row>
    <row r="9">
      <c r="A9" s="4" t="n">
        <v>45647</v>
      </c>
      <c r="B9" t="n">
        <v>222.6</v>
      </c>
    </row>
    <row r="10">
      <c r="A10" s="4" t="n">
        <v>45649</v>
      </c>
      <c r="B10" t="n">
        <v>222</v>
      </c>
    </row>
    <row r="11">
      <c r="A11" s="4" t="n">
        <v>45650</v>
      </c>
      <c r="B11" t="n">
        <v>220.6</v>
      </c>
    </row>
    <row r="12">
      <c r="A12" s="4" t="n">
        <v>45651</v>
      </c>
      <c r="B12" t="n">
        <v>220</v>
      </c>
    </row>
    <row r="13">
      <c r="A13" s="4" t="n">
        <v>45652</v>
      </c>
      <c r="B13" t="n">
        <v>219.2</v>
      </c>
    </row>
    <row r="14">
      <c r="A14" s="4" t="n">
        <v>45653</v>
      </c>
      <c r="B14" t="n">
        <v>220</v>
      </c>
    </row>
    <row r="15">
      <c r="A15" s="4" t="n">
        <v>45654</v>
      </c>
      <c r="B15" t="n">
        <v>219.2</v>
      </c>
    </row>
    <row r="16">
      <c r="A16" s="4" t="n">
        <v>45657</v>
      </c>
      <c r="B16" t="n">
        <v>219</v>
      </c>
    </row>
    <row r="17">
      <c r="A17" s="4" t="n">
        <v>45661</v>
      </c>
      <c r="B17" t="n">
        <v>219.8</v>
      </c>
    </row>
    <row r="18">
      <c r="A18" s="4" t="n">
        <v>45661</v>
      </c>
      <c r="B18" t="n">
        <v>218.8</v>
      </c>
    </row>
    <row r="19">
      <c r="A19" s="4" t="n">
        <v>45661</v>
      </c>
      <c r="B19" t="n">
        <v>218.9</v>
      </c>
    </row>
    <row r="20">
      <c r="A20" s="4" t="n">
        <v>45662</v>
      </c>
      <c r="B20" t="n">
        <v>218.7</v>
      </c>
    </row>
    <row r="21">
      <c r="A21" s="4" t="n">
        <v>45662</v>
      </c>
      <c r="B21" t="n">
        <v>218.7</v>
      </c>
    </row>
    <row r="22">
      <c r="A22" s="4" t="n">
        <v>45663</v>
      </c>
      <c r="B22" t="n">
        <v>217.9</v>
      </c>
    </row>
    <row r="23">
      <c r="A23" s="4" t="n">
        <v>45663</v>
      </c>
      <c r="B23" t="n">
        <v>217.9</v>
      </c>
    </row>
    <row r="24">
      <c r="A24" s="4" t="n">
        <v>45663</v>
      </c>
      <c r="B24" t="n">
        <v>217.9</v>
      </c>
    </row>
    <row r="25">
      <c r="A25" s="4" t="n">
        <v>45663</v>
      </c>
      <c r="B25" t="n">
        <v>217.9</v>
      </c>
    </row>
    <row r="26">
      <c r="A26" s="4" t="n">
        <v>45665</v>
      </c>
      <c r="B26" t="n">
        <v>217.6</v>
      </c>
    </row>
    <row r="27">
      <c r="A27" s="4" t="n">
        <v>45665</v>
      </c>
      <c r="B27" t="n">
        <v>218</v>
      </c>
    </row>
    <row r="28">
      <c r="A28" s="4" t="n">
        <v>45665</v>
      </c>
      <c r="B28" t="n">
        <v>217</v>
      </c>
    </row>
    <row r="29">
      <c r="A29" s="4" t="n">
        <v>45665</v>
      </c>
      <c r="B29" t="n">
        <v>217.6</v>
      </c>
    </row>
    <row r="30">
      <c r="A30" s="4" t="n">
        <v>45665</v>
      </c>
      <c r="B30" t="n">
        <v>217.6</v>
      </c>
    </row>
    <row r="31">
      <c r="A31" s="4" t="n">
        <v>45665</v>
      </c>
      <c r="B31" t="n">
        <v>217.6</v>
      </c>
    </row>
    <row r="32">
      <c r="A32" s="4" t="n">
        <v>45665</v>
      </c>
      <c r="B32" t="n">
        <v>218</v>
      </c>
    </row>
    <row r="33">
      <c r="A33" s="4" t="n">
        <v>45665</v>
      </c>
      <c r="B33" t="n">
        <v>217</v>
      </c>
    </row>
    <row r="34">
      <c r="A34" s="4" t="n">
        <v>45666</v>
      </c>
      <c r="B34" t="n">
        <v>217.7</v>
      </c>
    </row>
    <row r="35">
      <c r="A35" s="4" t="n">
        <v>45666</v>
      </c>
      <c r="B35" t="n">
        <v>217.6</v>
      </c>
    </row>
    <row r="36">
      <c r="A36" s="4" t="n">
        <v>45666</v>
      </c>
      <c r="B36" t="n">
        <v>217.7</v>
      </c>
    </row>
    <row r="37">
      <c r="A37" s="4" t="n">
        <v>45666</v>
      </c>
      <c r="B37" t="n">
        <v>217.6</v>
      </c>
    </row>
    <row r="38">
      <c r="A38" s="4" t="n">
        <v>45667</v>
      </c>
      <c r="B38" t="n">
        <v>216.9</v>
      </c>
    </row>
    <row r="39">
      <c r="A39" s="4" t="n">
        <v>45667</v>
      </c>
      <c r="B39" t="n">
        <v>216.9</v>
      </c>
    </row>
    <row r="40">
      <c r="A40" s="4" t="n">
        <v>45667</v>
      </c>
      <c r="B40" t="n">
        <v>216.9</v>
      </c>
    </row>
    <row r="41">
      <c r="A41" s="4" t="n">
        <v>45667</v>
      </c>
      <c r="B41" t="n">
        <v>216.9</v>
      </c>
    </row>
    <row r="42">
      <c r="A42" s="4" t="n">
        <v>45668</v>
      </c>
      <c r="B42" t="n">
        <v>216.9</v>
      </c>
    </row>
    <row r="43">
      <c r="A43" s="4" t="n">
        <v>45668</v>
      </c>
      <c r="B43" t="n">
        <v>216.9</v>
      </c>
    </row>
    <row r="44">
      <c r="A44" s="4" t="n">
        <v>45669</v>
      </c>
      <c r="B44" t="n">
        <v>216.8</v>
      </c>
    </row>
    <row r="45">
      <c r="A45" s="4" t="n">
        <v>45669</v>
      </c>
      <c r="B45" t="n">
        <v>216.8</v>
      </c>
    </row>
    <row r="46">
      <c r="A46" s="4" t="n">
        <v>45670</v>
      </c>
      <c r="B46" t="n">
        <v>215.3</v>
      </c>
    </row>
    <row r="47">
      <c r="A47" s="4" t="n">
        <v>45670</v>
      </c>
      <c r="B47" t="n">
        <v>215.3</v>
      </c>
    </row>
    <row r="48">
      <c r="A48" s="4" t="n">
        <v>45671</v>
      </c>
      <c r="B48" t="n">
        <v>214.3</v>
      </c>
    </row>
    <row r="49">
      <c r="A49" s="4" t="n">
        <v>45671</v>
      </c>
      <c r="B49" t="n">
        <v>214.6</v>
      </c>
    </row>
    <row r="50">
      <c r="A50" s="4" t="n">
        <v>45671</v>
      </c>
      <c r="B50" t="n">
        <v>214.6</v>
      </c>
    </row>
    <row r="51">
      <c r="A51" s="4" t="n">
        <v>45671</v>
      </c>
      <c r="B51" t="n">
        <v>214.3</v>
      </c>
    </row>
    <row r="52">
      <c r="A52" s="4" t="n">
        <v>45673</v>
      </c>
      <c r="B52" t="n">
        <v>215.2</v>
      </c>
    </row>
    <row r="53">
      <c r="A53" s="4" t="n">
        <v>45673</v>
      </c>
      <c r="B53" t="n">
        <v>215.2</v>
      </c>
    </row>
    <row r="54">
      <c r="A54" s="4" t="n">
        <v>45674</v>
      </c>
      <c r="B54" t="n">
        <v>215.6</v>
      </c>
    </row>
    <row r="55">
      <c r="A55" s="4" t="n">
        <v>45674</v>
      </c>
      <c r="B55" t="n">
        <v>215.6</v>
      </c>
    </row>
    <row r="56">
      <c r="A56" s="4" t="n">
        <v>45675</v>
      </c>
      <c r="B56" t="n">
        <v>215.9</v>
      </c>
    </row>
    <row r="57">
      <c r="A57" s="4" t="n">
        <v>45675</v>
      </c>
      <c r="B57" t="n">
        <v>215</v>
      </c>
    </row>
    <row r="58">
      <c r="A58" s="4" t="n">
        <v>45675</v>
      </c>
      <c r="B58" t="n">
        <v>215</v>
      </c>
    </row>
    <row r="59">
      <c r="A59" s="4" t="n">
        <v>45675</v>
      </c>
      <c r="B59" t="n">
        <v>215.9</v>
      </c>
    </row>
    <row r="60">
      <c r="A60" s="4" t="n">
        <v>45676</v>
      </c>
      <c r="B60" t="n">
        <v>214.2</v>
      </c>
    </row>
    <row r="61">
      <c r="A61" s="4" t="n">
        <v>45676</v>
      </c>
      <c r="B61" t="n">
        <v>213.3</v>
      </c>
    </row>
    <row r="62">
      <c r="A62" s="4" t="n">
        <v>45676</v>
      </c>
      <c r="B62" t="n">
        <v>213.3</v>
      </c>
    </row>
    <row r="63">
      <c r="A63" s="4" t="n">
        <v>45676</v>
      </c>
      <c r="B63" t="n">
        <v>214.2</v>
      </c>
    </row>
    <row r="64">
      <c r="A64" s="4" t="n">
        <v>45676</v>
      </c>
      <c r="B64" t="n">
        <v>213.3</v>
      </c>
    </row>
    <row r="65">
      <c r="A65" s="4" t="n">
        <v>45676</v>
      </c>
      <c r="B65" t="n">
        <v>213.3</v>
      </c>
    </row>
    <row r="66">
      <c r="A66" s="4" t="n">
        <v>45677</v>
      </c>
      <c r="B66" t="n">
        <v>211.9</v>
      </c>
    </row>
    <row r="67">
      <c r="A67" s="4" t="n">
        <v>45677</v>
      </c>
      <c r="B67" t="n">
        <v>211.9</v>
      </c>
    </row>
    <row r="68">
      <c r="A68" s="4" t="n">
        <v>45678</v>
      </c>
      <c r="B68" t="n">
        <v>204.9</v>
      </c>
    </row>
    <row r="69">
      <c r="A69" s="4" t="n">
        <v>45678</v>
      </c>
      <c r="B69" t="n">
        <v>212.9</v>
      </c>
    </row>
    <row r="70">
      <c r="A70" s="4" t="n">
        <v>45678</v>
      </c>
      <c r="B70" t="n">
        <v>212.9</v>
      </c>
    </row>
    <row r="71">
      <c r="A71" s="4" t="n">
        <v>45678</v>
      </c>
      <c r="B71" t="n">
        <v>204.9</v>
      </c>
    </row>
    <row r="72">
      <c r="A72" s="4" t="n">
        <v>45678</v>
      </c>
      <c r="B72" t="n">
        <v>212.9</v>
      </c>
    </row>
    <row r="73">
      <c r="A73" s="4" t="n">
        <v>45678</v>
      </c>
      <c r="B73" t="n">
        <v>212.9</v>
      </c>
    </row>
    <row r="74">
      <c r="A74" s="4" t="n">
        <v>45679</v>
      </c>
      <c r="B74" t="n">
        <v>214.3</v>
      </c>
    </row>
    <row r="75">
      <c r="A75" s="4" t="n">
        <v>45679</v>
      </c>
      <c r="B75" t="n">
        <v>214.3</v>
      </c>
    </row>
    <row r="76">
      <c r="A76" s="4" t="n">
        <v>45680</v>
      </c>
      <c r="B76" t="n">
        <v>212.2</v>
      </c>
    </row>
    <row r="77">
      <c r="A77" s="4" t="n">
        <v>45680</v>
      </c>
      <c r="B77" t="n">
        <v>212.2</v>
      </c>
    </row>
    <row r="78">
      <c r="A78" s="4" t="n">
        <v>45680</v>
      </c>
      <c r="B78" t="n">
        <v>212.2</v>
      </c>
    </row>
    <row r="79">
      <c r="A79" s="4" t="n">
        <v>45680</v>
      </c>
      <c r="B79" t="n">
        <v>212.2</v>
      </c>
    </row>
    <row r="80">
      <c r="A80" s="4" t="n">
        <v>45680</v>
      </c>
      <c r="B80" t="n">
        <v>212.3</v>
      </c>
    </row>
    <row r="81">
      <c r="A81" s="4" t="n">
        <v>45680</v>
      </c>
      <c r="B81" t="n">
        <v>212.3</v>
      </c>
    </row>
    <row r="82">
      <c r="A82" s="4" t="n">
        <v>45682</v>
      </c>
      <c r="B82" t="n">
        <v>213.1</v>
      </c>
    </row>
    <row r="83">
      <c r="A83" s="4" t="n">
        <v>45682</v>
      </c>
      <c r="B83" t="n">
        <v>213.1</v>
      </c>
    </row>
    <row r="84">
      <c r="A84" s="4" t="n">
        <v>45683</v>
      </c>
      <c r="B84" t="n">
        <v>213</v>
      </c>
    </row>
    <row r="85">
      <c r="A85" s="4" t="n">
        <v>45683</v>
      </c>
      <c r="B85" t="n">
        <v>213</v>
      </c>
    </row>
    <row r="86">
      <c r="A86" s="4" t="n">
        <v>45684</v>
      </c>
      <c r="B86" t="n">
        <v>211.2</v>
      </c>
    </row>
    <row r="87">
      <c r="A87" s="4" t="n">
        <v>45685</v>
      </c>
      <c r="B87" t="n">
        <v>210.6</v>
      </c>
    </row>
    <row r="88">
      <c r="A88" s="4" t="n">
        <v>45686</v>
      </c>
      <c r="B88" t="n">
        <v>209.7</v>
      </c>
    </row>
    <row r="89">
      <c r="A89" s="4" t="n">
        <v>45686</v>
      </c>
      <c r="B89" t="n">
        <v>209.6</v>
      </c>
    </row>
    <row r="90">
      <c r="A90" s="4" t="n">
        <v>45686</v>
      </c>
      <c r="B90" t="n">
        <v>209.7</v>
      </c>
    </row>
    <row r="91">
      <c r="A91" s="4" t="n">
        <v>45686</v>
      </c>
      <c r="B91" t="n">
        <v>209.6</v>
      </c>
    </row>
    <row r="92">
      <c r="A92" s="4" t="n">
        <v>45687</v>
      </c>
      <c r="B92" t="n">
        <v>209.4</v>
      </c>
    </row>
    <row r="93">
      <c r="A93" s="4" t="n">
        <v>45688</v>
      </c>
      <c r="B93" t="n">
        <v>209.6</v>
      </c>
    </row>
    <row r="94">
      <c r="A94" s="4" t="n">
        <v>45690</v>
      </c>
      <c r="B94" t="n">
        <v>210</v>
      </c>
    </row>
    <row r="95">
      <c r="A95" s="4" t="n">
        <v>45691</v>
      </c>
      <c r="B95" t="n">
        <v>210</v>
      </c>
    </row>
    <row r="96">
      <c r="A96" s="4" t="n">
        <v>45692</v>
      </c>
      <c r="B96" t="n">
        <v>209.9</v>
      </c>
    </row>
    <row r="97">
      <c r="A97" s="4" t="n">
        <v>45693</v>
      </c>
      <c r="B97" t="n">
        <v>208.1</v>
      </c>
    </row>
    <row r="98">
      <c r="A98" s="4" t="n">
        <v>45694</v>
      </c>
      <c r="B98" t="n">
        <v>207.2</v>
      </c>
    </row>
    <row r="99">
      <c r="A99" s="4" t="n">
        <v>45694</v>
      </c>
      <c r="B99" t="n">
        <v>208</v>
      </c>
    </row>
    <row r="100">
      <c r="A100" s="4" t="n">
        <v>45695</v>
      </c>
      <c r="B100" t="n">
        <v>208</v>
      </c>
    </row>
    <row r="101">
      <c r="A101" s="4" t="n">
        <v>45697</v>
      </c>
      <c r="B101" t="n">
        <v>209.1</v>
      </c>
    </row>
    <row r="102">
      <c r="A102" s="4" t="n">
        <v>45698</v>
      </c>
      <c r="B102" t="n">
        <v>208.1</v>
      </c>
    </row>
    <row r="103">
      <c r="A103" s="4" t="n">
        <v>45700</v>
      </c>
      <c r="B103" t="n">
        <v>205.5</v>
      </c>
    </row>
    <row r="104">
      <c r="A104" s="4" t="n">
        <v>45700</v>
      </c>
      <c r="B104" t="n">
        <v>205.4</v>
      </c>
    </row>
    <row r="105">
      <c r="A105" s="4" t="n">
        <v>45700</v>
      </c>
      <c r="B105" t="n">
        <v>205.9</v>
      </c>
    </row>
    <row r="106">
      <c r="A106" s="4" t="n">
        <v>45701</v>
      </c>
      <c r="B106" t="n">
        <v>205.2</v>
      </c>
    </row>
    <row r="107">
      <c r="A107" s="4" t="n">
        <v>45703</v>
      </c>
      <c r="B107" t="n">
        <v>205.7</v>
      </c>
    </row>
    <row r="108">
      <c r="A108" s="4" t="n">
        <v>45704</v>
      </c>
      <c r="B108" t="n">
        <v>206.2</v>
      </c>
    </row>
    <row r="109">
      <c r="A109" s="4" t="n">
        <v>45705</v>
      </c>
      <c r="B109" t="n">
        <v>205.4</v>
      </c>
    </row>
    <row r="110">
      <c r="A110" s="4" t="n">
        <v>45705</v>
      </c>
      <c r="B110" t="n">
        <v>205.4</v>
      </c>
    </row>
    <row r="111">
      <c r="A111" s="4" t="n">
        <v>45706</v>
      </c>
      <c r="B111" t="n">
        <v>204.7</v>
      </c>
    </row>
    <row r="112">
      <c r="A112" s="4" t="n">
        <v>45707</v>
      </c>
      <c r="B112" t="n">
        <v>203.7</v>
      </c>
    </row>
    <row r="113">
      <c r="A113" s="4" t="n">
        <v>45708</v>
      </c>
      <c r="B113" t="n">
        <v>202.8</v>
      </c>
    </row>
    <row r="114">
      <c r="A114" s="4" t="n">
        <v>45708</v>
      </c>
      <c r="B114" t="n">
        <v>202.8</v>
      </c>
    </row>
    <row r="115">
      <c r="A115" s="4" t="n">
        <v>45709</v>
      </c>
      <c r="B115" t="n">
        <v>203.4</v>
      </c>
    </row>
    <row r="116">
      <c r="A116" s="4" t="n">
        <v>45709</v>
      </c>
      <c r="B116" t="n">
        <v>203.4</v>
      </c>
    </row>
    <row r="117">
      <c r="A117" s="4" t="n">
        <v>45710</v>
      </c>
      <c r="B117" t="n">
        <v>202.9</v>
      </c>
    </row>
    <row r="118">
      <c r="A118" s="4" t="n">
        <v>45712</v>
      </c>
      <c r="B118" t="n">
        <v>202</v>
      </c>
    </row>
    <row r="119">
      <c r="A119" s="4" t="n">
        <v>45714</v>
      </c>
      <c r="B119" t="n">
        <v>201.5</v>
      </c>
    </row>
    <row r="120">
      <c r="A120" s="4" t="n">
        <v>45715</v>
      </c>
      <c r="B120" t="n">
        <v>202.4</v>
      </c>
    </row>
    <row r="121">
      <c r="A121" s="4" t="n">
        <v>45716</v>
      </c>
      <c r="B121" t="n">
        <v>201.9</v>
      </c>
    </row>
    <row r="122">
      <c r="A122" s="4" t="n">
        <v>45716</v>
      </c>
      <c r="B122" t="n">
        <v>201.9</v>
      </c>
    </row>
    <row r="123">
      <c r="A123" s="4" t="n">
        <v>45717</v>
      </c>
      <c r="B123" t="n">
        <v>201.1</v>
      </c>
    </row>
    <row r="124">
      <c r="A124" s="4" t="n">
        <v>45717</v>
      </c>
      <c r="B124" t="n">
        <v>201.2</v>
      </c>
    </row>
    <row r="125">
      <c r="A125" s="4" t="n">
        <v>45717</v>
      </c>
      <c r="B125" t="n">
        <v>201.4</v>
      </c>
    </row>
    <row r="126">
      <c r="A126" s="4" t="n">
        <v>45718</v>
      </c>
      <c r="B126" t="n">
        <v>201.3</v>
      </c>
    </row>
    <row r="127">
      <c r="A127" s="4" t="n">
        <v>45718</v>
      </c>
      <c r="B127" t="n">
        <v>202.2</v>
      </c>
    </row>
    <row r="128">
      <c r="A128" s="4" t="n">
        <v>45720</v>
      </c>
      <c r="B128" t="n">
        <v>198.9</v>
      </c>
    </row>
    <row r="129">
      <c r="A129" s="4" t="n">
        <v>45720</v>
      </c>
      <c r="B129" t="n">
        <v>198.9</v>
      </c>
    </row>
    <row r="130">
      <c r="A130" s="4" t="n">
        <v>45721</v>
      </c>
      <c r="B130" t="n">
        <v>198.3</v>
      </c>
    </row>
    <row r="131">
      <c r="A131" s="4" t="n">
        <v>45721</v>
      </c>
      <c r="B131" t="n">
        <v>198.3</v>
      </c>
    </row>
    <row r="132">
      <c r="A132" s="4" t="n">
        <v>45722</v>
      </c>
      <c r="B132" t="n">
        <v>197</v>
      </c>
    </row>
    <row r="133">
      <c r="A133" s="4" t="n">
        <v>45723</v>
      </c>
      <c r="B133" t="n">
        <v>196.4</v>
      </c>
    </row>
    <row r="134">
      <c r="A134" s="4" t="n">
        <v>45725</v>
      </c>
      <c r="B134" t="n">
        <v>196.3</v>
      </c>
    </row>
    <row r="135">
      <c r="A135" s="4" t="n">
        <v>45726</v>
      </c>
      <c r="B135" t="n">
        <v>195.4</v>
      </c>
    </row>
    <row r="136">
      <c r="A136" s="4" t="n">
        <v>45727</v>
      </c>
      <c r="B136" t="n">
        <v>195.4</v>
      </c>
    </row>
    <row r="137">
      <c r="A137" s="4" t="n">
        <v>45727</v>
      </c>
      <c r="B137" t="n">
        <v>195.4</v>
      </c>
    </row>
    <row r="138">
      <c r="A138" s="4" t="n">
        <v>45728</v>
      </c>
      <c r="B138" t="n">
        <v>195.3</v>
      </c>
    </row>
    <row r="139">
      <c r="A139" s="4" t="n">
        <v>45729</v>
      </c>
      <c r="B139" t="n">
        <v>196.3</v>
      </c>
    </row>
    <row r="140">
      <c r="A140" s="4" t="n">
        <v>45731</v>
      </c>
      <c r="B140" t="n">
        <v>196.9</v>
      </c>
    </row>
    <row r="141">
      <c r="A141" s="4" t="n">
        <v>45740</v>
      </c>
      <c r="B141" t="n">
        <v>194.1</v>
      </c>
    </row>
    <row r="142">
      <c r="A142" s="4" t="n">
        <v>45741</v>
      </c>
      <c r="B142" t="n">
        <v>192.8</v>
      </c>
    </row>
    <row r="143">
      <c r="A143" s="4" t="n">
        <v>45743</v>
      </c>
      <c r="B143" t="n">
        <v>191.2</v>
      </c>
    </row>
    <row r="144">
      <c r="A144" s="4" t="n">
        <v>45744</v>
      </c>
      <c r="B144" t="n">
        <v>191</v>
      </c>
    </row>
    <row r="145">
      <c r="A145" s="4" t="n">
        <v>45744</v>
      </c>
      <c r="B145" t="n">
        <v>191.1</v>
      </c>
    </row>
    <row r="146">
      <c r="A146" s="4" t="n">
        <v>45745</v>
      </c>
      <c r="B146" t="n">
        <v>190.8</v>
      </c>
    </row>
    <row r="147">
      <c r="A147" s="4" t="n">
        <v>45746</v>
      </c>
      <c r="B147" t="n">
        <v>191.5</v>
      </c>
    </row>
    <row r="148">
      <c r="A148" s="4" t="n">
        <v>45747</v>
      </c>
      <c r="B148" t="n">
        <v>192.1</v>
      </c>
    </row>
    <row r="149">
      <c r="A149" s="4" t="n">
        <v>45748</v>
      </c>
      <c r="B149" t="n">
        <v>191.5</v>
      </c>
    </row>
    <row r="150">
      <c r="A150" s="4" t="n">
        <v>45749</v>
      </c>
      <c r="B150" t="n">
        <v>191.1</v>
      </c>
    </row>
    <row r="151">
      <c r="A151" s="4" t="n">
        <v>45751</v>
      </c>
      <c r="B151" t="n">
        <v>190</v>
      </c>
    </row>
    <row r="152">
      <c r="A152" s="4" t="n">
        <v>45751</v>
      </c>
      <c r="B152" t="n">
        <v>190</v>
      </c>
    </row>
    <row r="153">
      <c r="A153" s="4" t="n">
        <v>45753</v>
      </c>
      <c r="B153" t="n">
        <v>189.5</v>
      </c>
    </row>
    <row r="154">
      <c r="A154" s="4" t="n">
        <v>45753</v>
      </c>
      <c r="B154" t="n">
        <v>189.6</v>
      </c>
    </row>
    <row r="155">
      <c r="A155" s="4" t="n">
        <v>45754</v>
      </c>
      <c r="B155" t="n">
        <v>189.4</v>
      </c>
    </row>
    <row r="156">
      <c r="A156" s="4" t="n">
        <v>45755</v>
      </c>
      <c r="B156" t="n">
        <v>189</v>
      </c>
    </row>
    <row r="157">
      <c r="A157" s="4" t="n">
        <v>45756</v>
      </c>
      <c r="B157" t="n">
        <v>190</v>
      </c>
    </row>
    <row r="158">
      <c r="A158" s="4" t="n">
        <v>45760</v>
      </c>
      <c r="B158" t="n">
        <v>189.9</v>
      </c>
    </row>
    <row r="159">
      <c r="A159" s="4" t="n">
        <v>45761</v>
      </c>
      <c r="B159" t="n">
        <v>189.8</v>
      </c>
    </row>
    <row r="160">
      <c r="A160" s="4" t="n">
        <v>45762</v>
      </c>
      <c r="B160" t="n">
        <v>188.8</v>
      </c>
    </row>
    <row r="161">
      <c r="A161" s="4" t="n">
        <v>45763</v>
      </c>
      <c r="B161" t="n">
        <v>188.7</v>
      </c>
    </row>
    <row r="162">
      <c r="A162" s="4" t="n">
        <v>45764</v>
      </c>
      <c r="B162" t="n">
        <v>187.5</v>
      </c>
    </row>
    <row r="163">
      <c r="A163" s="4" t="n">
        <v>45764</v>
      </c>
      <c r="B163" t="n">
        <v>187.5</v>
      </c>
    </row>
    <row r="164">
      <c r="A164" s="4" t="n">
        <v>45765</v>
      </c>
      <c r="B164" t="n">
        <v>187.3</v>
      </c>
    </row>
    <row r="165">
      <c r="A165" s="4" t="n">
        <v>45765</v>
      </c>
      <c r="B165" t="n">
        <v>187.3</v>
      </c>
    </row>
    <row r="166">
      <c r="A166" s="4" t="n">
        <v>45766</v>
      </c>
      <c r="B166" t="n">
        <v>188</v>
      </c>
    </row>
    <row r="167">
      <c r="A167" s="4" t="n">
        <v>45769</v>
      </c>
      <c r="B167" t="n">
        <v>188</v>
      </c>
    </row>
    <row r="168">
      <c r="A168" s="4" t="n">
        <v>45770</v>
      </c>
      <c r="B168" t="n">
        <v>186.6</v>
      </c>
    </row>
    <row r="169">
      <c r="A169" s="4" t="n">
        <v>45770</v>
      </c>
      <c r="B169" t="n">
        <v>186.6</v>
      </c>
    </row>
    <row r="170">
      <c r="A170" s="4" t="n">
        <v>45771</v>
      </c>
      <c r="B170" t="n">
        <v>186.1</v>
      </c>
    </row>
    <row r="171">
      <c r="A171" s="4" t="n">
        <v>45771</v>
      </c>
      <c r="B171" t="n">
        <v>186.1</v>
      </c>
    </row>
    <row r="172">
      <c r="A172" s="4" t="n">
        <v>45771</v>
      </c>
      <c r="B172" t="n">
        <v>186.1</v>
      </c>
    </row>
    <row r="173">
      <c r="A173" s="4" t="n">
        <v>45771</v>
      </c>
      <c r="B173" t="n">
        <v>186</v>
      </c>
    </row>
    <row r="174">
      <c r="A174" s="4" t="n">
        <v>45779</v>
      </c>
      <c r="B174" t="n">
        <v>187.1</v>
      </c>
    </row>
    <row r="175">
      <c r="A175" s="4" t="n">
        <v>45780</v>
      </c>
      <c r="B175" t="n">
        <v>188</v>
      </c>
    </row>
    <row r="176">
      <c r="A176" s="4" t="n">
        <v>45783</v>
      </c>
      <c r="B176" t="n">
        <v>185</v>
      </c>
    </row>
    <row r="177">
      <c r="A177" s="4" t="n">
        <v>45783</v>
      </c>
      <c r="B177" t="n">
        <v>185.1</v>
      </c>
    </row>
    <row r="178">
      <c r="A178" s="4" t="n">
        <v>45784</v>
      </c>
      <c r="B178" t="n">
        <v>184.7</v>
      </c>
    </row>
    <row r="179">
      <c r="A179" s="4" t="n">
        <v>45784</v>
      </c>
      <c r="B179" t="n">
        <v>184.8</v>
      </c>
    </row>
    <row r="180">
      <c r="A180" s="4" t="n">
        <v>45785</v>
      </c>
      <c r="B180" t="n">
        <v>184.6</v>
      </c>
    </row>
    <row r="181">
      <c r="A181" s="4" t="n">
        <v>45785</v>
      </c>
      <c r="B181" t="n">
        <v>184.6</v>
      </c>
    </row>
    <row r="182">
      <c r="A182" s="4" t="n">
        <v>45786</v>
      </c>
      <c r="B182" t="n">
        <v>185.2</v>
      </c>
    </row>
    <row r="183">
      <c r="A183" s="4" t="n">
        <v>45789</v>
      </c>
      <c r="B183" t="n">
        <v>186</v>
      </c>
    </row>
    <row r="184">
      <c r="A184" s="4" t="n">
        <v>45791</v>
      </c>
      <c r="B184" t="n">
        <v>187</v>
      </c>
    </row>
    <row r="185">
      <c r="A185" s="4" t="n">
        <v>45792</v>
      </c>
      <c r="B185" t="n">
        <v>186.5</v>
      </c>
    </row>
    <row r="186">
      <c r="A186" s="4" t="n">
        <v>45793</v>
      </c>
      <c r="B186" t="n">
        <v>185.1</v>
      </c>
    </row>
    <row r="187">
      <c r="A187" s="4" t="n">
        <v>45794</v>
      </c>
      <c r="B187" t="n">
        <v>183.6</v>
      </c>
    </row>
    <row r="188">
      <c r="A188" s="4" t="n">
        <v>45794</v>
      </c>
      <c r="B188" t="n">
        <v>183.6</v>
      </c>
    </row>
    <row r="189">
      <c r="A189" s="4" t="n">
        <v>45794</v>
      </c>
      <c r="B189" t="n">
        <v>184.4</v>
      </c>
    </row>
    <row r="190">
      <c r="A190" s="4" t="n">
        <v>45795</v>
      </c>
      <c r="B190" t="n">
        <v>182.4</v>
      </c>
    </row>
    <row r="191">
      <c r="A191" s="4" t="n">
        <v>45796</v>
      </c>
      <c r="B191" t="n">
        <v>182.9</v>
      </c>
    </row>
    <row r="192">
      <c r="A192" s="4" t="n">
        <v>45796</v>
      </c>
      <c r="B192" t="n">
        <v>183</v>
      </c>
    </row>
    <row r="193">
      <c r="A193" s="4" t="n">
        <v>45797</v>
      </c>
      <c r="B193" t="n">
        <v>182.8</v>
      </c>
    </row>
    <row r="194">
      <c r="A194" s="4" t="n">
        <v>45797</v>
      </c>
      <c r="B194" t="n">
        <v>184.2</v>
      </c>
    </row>
    <row r="195">
      <c r="A195" s="4" t="n">
        <v>45798</v>
      </c>
      <c r="B195" t="n">
        <v>182.8</v>
      </c>
    </row>
    <row r="196">
      <c r="A196" s="4" t="n">
        <v>45798</v>
      </c>
      <c r="B196" t="n">
        <v>182.9</v>
      </c>
    </row>
    <row r="197">
      <c r="A197" s="4" t="n">
        <v>45806</v>
      </c>
      <c r="B197" t="n">
        <v>184.9</v>
      </c>
    </row>
    <row r="198">
      <c r="A198" s="4" t="n">
        <v>45807</v>
      </c>
      <c r="B198" t="n">
        <v>183.9</v>
      </c>
    </row>
    <row r="199">
      <c r="A199" s="4" t="n">
        <v>45809</v>
      </c>
      <c r="B199" t="n">
        <v>184.1</v>
      </c>
    </row>
    <row r="200">
      <c r="A200" s="4" t="n">
        <v>45811</v>
      </c>
      <c r="B200" t="n">
        <v>184.6</v>
      </c>
    </row>
    <row r="201">
      <c r="A201" s="4" t="n">
        <v>45818</v>
      </c>
      <c r="B201" t="n">
        <v>183.4</v>
      </c>
    </row>
    <row r="202">
      <c r="A202" s="4" t="n">
        <v>45818</v>
      </c>
      <c r="B202" t="n">
        <v>183.4</v>
      </c>
    </row>
    <row r="203">
      <c r="A203" s="4" t="n">
        <v>45825</v>
      </c>
      <c r="B203" t="n">
        <v>183.8</v>
      </c>
    </row>
    <row r="204">
      <c r="A204" s="4" t="n">
        <v>45826</v>
      </c>
      <c r="B204" t="n">
        <v>182.3</v>
      </c>
    </row>
    <row r="205">
      <c r="A205" s="4" t="n">
        <v>45827</v>
      </c>
      <c r="B205" t="n">
        <v>182.2</v>
      </c>
    </row>
    <row r="206">
      <c r="A206" s="4" t="n">
        <v>45828</v>
      </c>
      <c r="B206" t="n">
        <v>182.1</v>
      </c>
    </row>
    <row r="207">
      <c r="A207" s="4" t="n">
        <v>45828</v>
      </c>
      <c r="B207" t="n">
        <v>182.1</v>
      </c>
    </row>
    <row r="208">
      <c r="A208" s="4" t="n">
        <v>45828</v>
      </c>
      <c r="B208" t="n">
        <v>182</v>
      </c>
    </row>
    <row r="209">
      <c r="A209" s="4" t="n">
        <v>45829</v>
      </c>
      <c r="B209" t="n">
        <v>182.6</v>
      </c>
    </row>
    <row r="210">
      <c r="A210" s="4" t="n">
        <v>45832</v>
      </c>
      <c r="B210" t="n">
        <v>183.4</v>
      </c>
    </row>
    <row r="211">
      <c r="A211" s="4" t="n">
        <v>45833</v>
      </c>
      <c r="B211" t="n">
        <v>182.3</v>
      </c>
    </row>
    <row r="212">
      <c r="A212" s="4" t="n">
        <v>45834</v>
      </c>
      <c r="B212" t="n">
        <v>182.4</v>
      </c>
    </row>
    <row r="213">
      <c r="A213" s="4" t="n">
        <v>45836</v>
      </c>
      <c r="B213" t="n">
        <v>180.7</v>
      </c>
    </row>
    <row r="214">
      <c r="A214" s="4" t="n">
        <v>45841</v>
      </c>
      <c r="B214" t="n">
        <v>182.8</v>
      </c>
    </row>
    <row r="215">
      <c r="A215" s="4" t="n">
        <v>45844</v>
      </c>
      <c r="B215" t="n">
        <v>182.4</v>
      </c>
    </row>
    <row r="216">
      <c r="A216" s="4" t="n">
        <v>45845</v>
      </c>
      <c r="B216" t="n">
        <v>183.2</v>
      </c>
    </row>
    <row r="217">
      <c r="A217" s="4" t="n">
        <v>45846</v>
      </c>
      <c r="B217" t="n">
        <v>182.8</v>
      </c>
    </row>
    <row r="218">
      <c r="A218" s="4" t="n">
        <v>45847</v>
      </c>
      <c r="B218" t="n">
        <v>181.7</v>
      </c>
    </row>
    <row r="219">
      <c r="A219" s="4" t="n">
        <v>45847</v>
      </c>
      <c r="B219" t="n">
        <v>181.1</v>
      </c>
    </row>
    <row r="220">
      <c r="A220" s="4" t="n">
        <v>45848</v>
      </c>
      <c r="B220" t="n">
        <v>180.6</v>
      </c>
    </row>
    <row r="221">
      <c r="A221" s="4" t="n">
        <v>45849</v>
      </c>
      <c r="B221" t="n">
        <v>180.9</v>
      </c>
    </row>
    <row r="222">
      <c r="A222" s="4" t="n">
        <v>45851</v>
      </c>
      <c r="B222" t="n">
        <v>181.8</v>
      </c>
    </row>
    <row r="223">
      <c r="A223" s="4" t="n">
        <v>45853</v>
      </c>
      <c r="B223" t="n">
        <v>180.1</v>
      </c>
    </row>
    <row r="224">
      <c r="A224" s="4" t="n">
        <v>45854</v>
      </c>
      <c r="B224" t="n">
        <v>179.8</v>
      </c>
    </row>
    <row r="225">
      <c r="A225" s="4" t="n">
        <v>45857</v>
      </c>
      <c r="B225" t="n">
        <v>177.4</v>
      </c>
    </row>
    <row r="226">
      <c r="A226" s="4" t="n">
        <v>45858</v>
      </c>
      <c r="B226" t="n">
        <v>177</v>
      </c>
    </row>
    <row r="227">
      <c r="A227" s="4" t="n">
        <v>45858</v>
      </c>
      <c r="B227" t="n">
        <v>177.8</v>
      </c>
    </row>
    <row r="228">
      <c r="A228" s="4" t="n">
        <v>45859</v>
      </c>
      <c r="B228" t="n">
        <v>177.4</v>
      </c>
    </row>
    <row r="229">
      <c r="A229" s="4" t="n">
        <v>45859</v>
      </c>
      <c r="B229" t="n">
        <v>182.2</v>
      </c>
    </row>
    <row r="230">
      <c r="A230" s="4" t="n">
        <v>45859</v>
      </c>
      <c r="B230" t="n">
        <v>182.1</v>
      </c>
    </row>
    <row r="231">
      <c r="A231" s="4" t="n">
        <v>45861</v>
      </c>
      <c r="B231" t="n">
        <v>178.6</v>
      </c>
    </row>
    <row r="232">
      <c r="A232" s="4" t="n">
        <v>45862</v>
      </c>
      <c r="B232" t="n">
        <v>177</v>
      </c>
    </row>
    <row r="233">
      <c r="A233" s="4" t="n">
        <v>45863</v>
      </c>
      <c r="B233" t="n">
        <v>177.3</v>
      </c>
    </row>
    <row r="234">
      <c r="A234" s="4" t="n">
        <v>45863</v>
      </c>
      <c r="B234" t="n">
        <v>177.4</v>
      </c>
    </row>
    <row r="235">
      <c r="A235" s="4" t="n">
        <v>45863</v>
      </c>
      <c r="B235" t="n">
        <v>177.6</v>
      </c>
    </row>
    <row r="236">
      <c r="A236" s="4" t="n">
        <v>45864</v>
      </c>
      <c r="B236" t="n">
        <v>177.4</v>
      </c>
    </row>
    <row r="237">
      <c r="A237" s="4" t="n">
        <v>45865</v>
      </c>
      <c r="B237" t="n">
        <v>177.7</v>
      </c>
    </row>
    <row r="238">
      <c r="A238" s="4" t="n">
        <v>45865</v>
      </c>
      <c r="B238" t="n">
        <v>176.8</v>
      </c>
    </row>
    <row r="239">
      <c r="A239" s="4" t="n">
        <v>45865</v>
      </c>
      <c r="B239" t="n">
        <v>176.8</v>
      </c>
    </row>
    <row r="240">
      <c r="A240" s="4" t="n">
        <v>45866</v>
      </c>
      <c r="B240" t="n">
        <v>176.6</v>
      </c>
    </row>
    <row r="241">
      <c r="A241" s="4" t="n">
        <v>45866</v>
      </c>
      <c r="B241" t="n">
        <v>176.7</v>
      </c>
    </row>
    <row r="242">
      <c r="A242" s="4" t="n">
        <v>45867</v>
      </c>
      <c r="B242" t="n">
        <v>176.4</v>
      </c>
    </row>
    <row r="243">
      <c r="A243" s="4" t="n">
        <v>45867</v>
      </c>
      <c r="B243" t="n">
        <v>176.6</v>
      </c>
    </row>
    <row r="244">
      <c r="A244" s="4" t="n">
        <v>45868</v>
      </c>
      <c r="B244" t="n">
        <v>177</v>
      </c>
    </row>
    <row r="245">
      <c r="A245" s="4" t="n">
        <v>45869</v>
      </c>
      <c r="B245" t="n">
        <v>176.8</v>
      </c>
    </row>
    <row r="246">
      <c r="A246" s="4" t="n">
        <v>45871</v>
      </c>
      <c r="B246" t="n">
        <v>176.7</v>
      </c>
    </row>
    <row r="247">
      <c r="A247" s="4" t="n">
        <v>45878</v>
      </c>
      <c r="B247" t="n">
        <v>176.5</v>
      </c>
    </row>
    <row r="248">
      <c r="A248" s="4" t="n">
        <v>45879</v>
      </c>
      <c r="B248" t="n">
        <v>175.7</v>
      </c>
    </row>
    <row r="249">
      <c r="A249" s="4" t="n">
        <v>45881</v>
      </c>
      <c r="B249" t="n">
        <v>175.8</v>
      </c>
    </row>
    <row r="250">
      <c r="A250" s="4" t="n">
        <v>45882</v>
      </c>
      <c r="B250" t="n">
        <v>175.9</v>
      </c>
    </row>
    <row r="251">
      <c r="A251" s="4" t="n">
        <v>45882</v>
      </c>
      <c r="B251" t="n">
        <v>176.2</v>
      </c>
    </row>
    <row r="252">
      <c r="A252" s="4" t="n">
        <v>45884</v>
      </c>
      <c r="B252" t="n">
        <v>176.8</v>
      </c>
    </row>
    <row r="253">
      <c r="A253" s="4" t="n">
        <v>45887</v>
      </c>
      <c r="B253" t="n">
        <v>176.4</v>
      </c>
    </row>
    <row r="254">
      <c r="A254" s="4" t="n">
        <v>45887</v>
      </c>
      <c r="B254" t="n">
        <v>176.5</v>
      </c>
    </row>
    <row r="255">
      <c r="A255" s="4" t="n">
        <v>45888</v>
      </c>
      <c r="B255" t="n">
        <v>175.3</v>
      </c>
    </row>
    <row r="256">
      <c r="A256" s="4" t="n">
        <v>45888</v>
      </c>
      <c r="B256" t="n">
        <v>175.3</v>
      </c>
    </row>
    <row r="257">
      <c r="A257" s="4" t="n">
        <v>45889</v>
      </c>
      <c r="B257" t="n">
        <v>174</v>
      </c>
    </row>
    <row r="258">
      <c r="A258" s="4" t="n">
        <v>45889</v>
      </c>
      <c r="B258" t="n">
        <v>173.5</v>
      </c>
    </row>
    <row r="259">
      <c r="A259" s="4" t="n">
        <v>45889</v>
      </c>
      <c r="B259" t="n">
        <v>171.8</v>
      </c>
    </row>
    <row r="260">
      <c r="A260" s="4" t="n">
        <v>45889</v>
      </c>
      <c r="B260" t="n">
        <v>173.5</v>
      </c>
    </row>
    <row r="261">
      <c r="A261" s="4" t="n">
        <v>45889</v>
      </c>
      <c r="B261" t="n">
        <v>174</v>
      </c>
    </row>
    <row r="262">
      <c r="A262" s="4" t="n">
        <v>45889</v>
      </c>
      <c r="B262" t="n">
        <v>173.5</v>
      </c>
    </row>
    <row r="263">
      <c r="A263" s="4" t="n">
        <v>45891</v>
      </c>
      <c r="B263" t="n">
        <v>175.2</v>
      </c>
    </row>
    <row r="264">
      <c r="A264" s="4" t="n">
        <v>45893</v>
      </c>
      <c r="B264" t="n">
        <v>175.2</v>
      </c>
    </row>
    <row r="265">
      <c r="A265" s="4" t="n">
        <v>45894</v>
      </c>
      <c r="B265" t="n">
        <v>174.5</v>
      </c>
    </row>
    <row r="266">
      <c r="A266" s="4" t="n">
        <v>45895</v>
      </c>
      <c r="B266" t="n">
        <v>174.2</v>
      </c>
    </row>
    <row r="267">
      <c r="A267" s="4" t="n">
        <v>45895</v>
      </c>
      <c r="B267" t="n">
        <v>142.1</v>
      </c>
    </row>
    <row r="268">
      <c r="A268" s="4" t="n">
        <v>45896</v>
      </c>
      <c r="B268" t="n">
        <v>174</v>
      </c>
    </row>
    <row r="269">
      <c r="A269" s="4" t="n">
        <v>45897</v>
      </c>
      <c r="B269" t="n">
        <v>173.9</v>
      </c>
    </row>
    <row r="270">
      <c r="A270" s="4" t="n">
        <v>45898</v>
      </c>
      <c r="B270" t="n">
        <v>173.3</v>
      </c>
    </row>
    <row r="271">
      <c r="A271" s="4" t="n">
        <v>45899</v>
      </c>
      <c r="B271" t="n">
        <v>173</v>
      </c>
    </row>
    <row r="272">
      <c r="A272" s="4" t="n">
        <v>45900</v>
      </c>
      <c r="B272" t="n">
        <v>173.8</v>
      </c>
    </row>
    <row r="273">
      <c r="A273" s="4" t="n">
        <v>45901</v>
      </c>
      <c r="B273" t="n">
        <v>173.3</v>
      </c>
    </row>
    <row r="274">
      <c r="A274" s="4" t="n">
        <v>45903</v>
      </c>
      <c r="B274" t="n">
        <v>173</v>
      </c>
    </row>
    <row r="275">
      <c r="A275" s="4" t="n">
        <v>45904</v>
      </c>
      <c r="B275" t="n">
        <v>172.6</v>
      </c>
    </row>
    <row r="276">
      <c r="A276" s="4" t="n">
        <v>45905</v>
      </c>
      <c r="B276" t="n">
        <v>172.3</v>
      </c>
    </row>
    <row r="277">
      <c r="A277" s="4" t="n">
        <v>45906</v>
      </c>
      <c r="B277" t="n">
        <v>172.5</v>
      </c>
    </row>
    <row r="278">
      <c r="A278" s="4" t="n">
        <v>45907</v>
      </c>
      <c r="B278" t="n">
        <v>174</v>
      </c>
    </row>
    <row r="279">
      <c r="A279" s="4" t="n">
        <v>45909</v>
      </c>
      <c r="B279" t="n">
        <v>171.6</v>
      </c>
    </row>
    <row r="280">
      <c r="A280" s="4" t="n">
        <v>45909</v>
      </c>
      <c r="B280" t="n">
        <v>171.6</v>
      </c>
    </row>
    <row r="281">
      <c r="A281" s="4" t="n">
        <v>45909</v>
      </c>
      <c r="B281" t="n">
        <v>172.2</v>
      </c>
    </row>
    <row r="282">
      <c r="A282" s="4" t="n">
        <v>45910</v>
      </c>
      <c r="B282" t="n">
        <v>170.5</v>
      </c>
    </row>
    <row r="283">
      <c r="A283" s="4" t="n">
        <v>45910</v>
      </c>
      <c r="B283" t="n">
        <v>170.5</v>
      </c>
    </row>
    <row r="284">
      <c r="A284" s="4" t="n">
        <v>45916</v>
      </c>
      <c r="B284" t="n">
        <v>171.4</v>
      </c>
    </row>
    <row r="285">
      <c r="A285" s="4" t="n">
        <v>45916</v>
      </c>
      <c r="B285" t="n">
        <v>171.4</v>
      </c>
    </row>
    <row r="286">
      <c r="A286" s="4" t="n">
        <v>45917</v>
      </c>
      <c r="B286" t="n">
        <v>170.3</v>
      </c>
    </row>
    <row r="287">
      <c r="A287" s="4" t="n">
        <v>45917</v>
      </c>
      <c r="B287" t="n">
        <v>170.3</v>
      </c>
    </row>
    <row r="288">
      <c r="A288" s="4" t="n">
        <v>45918</v>
      </c>
      <c r="B288" t="n">
        <v>171.4</v>
      </c>
    </row>
    <row r="289">
      <c r="A289" s="4" t="n">
        <v>45919</v>
      </c>
      <c r="B289" t="n">
        <v>171.6</v>
      </c>
    </row>
    <row r="290">
      <c r="A290" s="4" t="n">
        <v>45921</v>
      </c>
      <c r="B290" t="n">
        <v>173.1</v>
      </c>
    </row>
    <row r="291">
      <c r="A291" s="4" t="n">
        <v>45922</v>
      </c>
      <c r="B291" t="n">
        <v>173.4</v>
      </c>
    </row>
    <row r="292">
      <c r="A292" s="4" t="n">
        <v>45923</v>
      </c>
      <c r="B292" t="n">
        <v>171.8</v>
      </c>
    </row>
    <row r="293">
      <c r="A293" s="4" t="n">
        <v>45924</v>
      </c>
      <c r="B293" t="n">
        <v>171</v>
      </c>
    </row>
    <row r="294">
      <c r="A294" s="4" t="n">
        <v>45924</v>
      </c>
      <c r="B294" t="n">
        <v>170.2</v>
      </c>
    </row>
    <row r="295">
      <c r="A295" s="4" t="n">
        <v>45926</v>
      </c>
      <c r="B295" t="n">
        <v>170.9</v>
      </c>
    </row>
    <row r="296">
      <c r="A296" s="4" t="n">
        <v>45926</v>
      </c>
      <c r="B296" t="n">
        <v>169.4</v>
      </c>
    </row>
    <row r="297">
      <c r="A297" s="4" t="n">
        <v>45927</v>
      </c>
      <c r="B297" t="n">
        <v>171.1</v>
      </c>
    </row>
    <row r="298">
      <c r="A298" s="4" t="n">
        <v>45930</v>
      </c>
      <c r="B298" t="n">
        <v>170.8</v>
      </c>
    </row>
    <row r="299">
      <c r="A299" s="4" t="n">
        <v>45931</v>
      </c>
      <c r="B299" t="n">
        <v>169.2</v>
      </c>
    </row>
    <row r="300">
      <c r="A300" s="4" t="n">
        <v>45931</v>
      </c>
      <c r="B300" t="n">
        <v>169.5</v>
      </c>
    </row>
    <row r="301">
      <c r="A301" s="4" t="n">
        <v>45932</v>
      </c>
      <c r="B301" t="n">
        <v>169.1</v>
      </c>
    </row>
    <row r="302">
      <c r="A302" s="4" t="n">
        <v>45933</v>
      </c>
      <c r="B302" t="n">
        <v>170.2</v>
      </c>
    </row>
    <row r="303">
      <c r="A303" s="4" t="n">
        <v>45935</v>
      </c>
      <c r="B303" t="n">
        <v>171.3</v>
      </c>
    </row>
    <row r="304">
      <c r="A304" s="4" t="n">
        <v>45936</v>
      </c>
      <c r="B304" t="n">
        <v>171.8</v>
      </c>
    </row>
    <row r="305">
      <c r="A305" s="4" t="n">
        <v>45937</v>
      </c>
      <c r="B305" t="n">
        <v>170.3</v>
      </c>
    </row>
    <row r="306">
      <c r="A306" s="4" t="n">
        <v>45938</v>
      </c>
      <c r="B306" t="n">
        <v>168.4</v>
      </c>
    </row>
    <row r="307">
      <c r="A307" s="4" t="n">
        <v>45938</v>
      </c>
      <c r="B307" t="n">
        <v>169.4</v>
      </c>
    </row>
    <row r="308">
      <c r="A308" s="4" t="n">
        <v>45938</v>
      </c>
      <c r="B308" t="n">
        <v>168.4</v>
      </c>
    </row>
    <row r="309">
      <c r="A309" s="4" t="n">
        <v>45943</v>
      </c>
      <c r="B309" t="n">
        <v>170.5</v>
      </c>
    </row>
    <row r="310">
      <c r="A310" s="4" t="n">
        <v>45944</v>
      </c>
      <c r="B310" t="n">
        <v>170</v>
      </c>
    </row>
    <row r="311">
      <c r="A311" s="4" t="n">
        <v>45945</v>
      </c>
      <c r="B311" t="n">
        <v>168.5</v>
      </c>
    </row>
    <row r="312">
      <c r="A312" s="4" t="n">
        <v>45946</v>
      </c>
      <c r="B312" t="n">
        <v>169</v>
      </c>
    </row>
    <row r="313">
      <c r="A313" s="4" t="n">
        <v>45947</v>
      </c>
      <c r="B313" t="n">
        <v>168.6</v>
      </c>
    </row>
    <row r="314">
      <c r="A314" s="4" t="n">
        <v>45949</v>
      </c>
      <c r="B314" t="n">
        <v>169.5</v>
      </c>
    </row>
    <row r="315">
      <c r="A315" s="4" t="n">
        <v>45951</v>
      </c>
      <c r="B315" t="n">
        <v>168</v>
      </c>
    </row>
    <row r="316">
      <c r="A316" s="4" t="n">
        <v>45951</v>
      </c>
      <c r="B316" t="n">
        <v>167.9</v>
      </c>
    </row>
    <row r="317">
      <c r="A317" s="4" t="n">
        <v>45951</v>
      </c>
      <c r="B317" t="n">
        <v>168.2</v>
      </c>
    </row>
    <row r="318">
      <c r="A318" s="4" t="n">
        <v>45954</v>
      </c>
      <c r="B318" t="n">
        <v>168.4</v>
      </c>
    </row>
    <row r="319">
      <c r="A319" s="4" t="n">
        <v>45954</v>
      </c>
      <c r="B319" t="n">
        <v>168</v>
      </c>
    </row>
    <row r="320">
      <c r="A320" s="4" t="n">
        <v>45957</v>
      </c>
      <c r="B320" t="n">
        <v>171</v>
      </c>
    </row>
    <row r="321">
      <c r="A321" s="4" t="n">
        <v>45959</v>
      </c>
      <c r="B321" t="n">
        <v>169</v>
      </c>
    </row>
    <row r="322">
      <c r="A322" s="4" t="n">
        <v>45960</v>
      </c>
      <c r="B322" t="n">
        <v>169.4</v>
      </c>
    </row>
    <row r="323">
      <c r="A323" s="4" t="n">
        <v>45961</v>
      </c>
      <c r="B323" t="n">
        <v>167.2</v>
      </c>
    </row>
    <row r="324">
      <c r="A324" s="4" t="n">
        <v>45961</v>
      </c>
      <c r="B324" t="n">
        <v>167.2</v>
      </c>
    </row>
    <row r="325">
      <c r="A325" s="4" t="n">
        <v>45965</v>
      </c>
      <c r="B325" t="n">
        <v>168.8</v>
      </c>
    </row>
    <row r="326">
      <c r="A326" s="4" t="n">
        <v>45966</v>
      </c>
      <c r="B326" t="n">
        <v>169.6</v>
      </c>
    </row>
    <row r="327">
      <c r="A327" s="4" t="n">
        <v>45969</v>
      </c>
      <c r="B327" t="n">
        <v>168.4</v>
      </c>
    </row>
    <row r="328">
      <c r="A328" s="4" t="n">
        <v>45969</v>
      </c>
      <c r="B328" t="n">
        <v>168.5</v>
      </c>
    </row>
    <row r="329">
      <c r="A329" s="4" t="n">
        <v>45969</v>
      </c>
      <c r="B329" t="n">
        <v>168.4</v>
      </c>
    </row>
    <row r="330">
      <c r="A330" s="4" t="n">
        <v>45972</v>
      </c>
      <c r="B330" t="n">
        <v>168.5</v>
      </c>
    </row>
    <row r="331">
      <c r="A331" s="4" t="n">
        <v>45973</v>
      </c>
      <c r="B331" t="n">
        <v>168.4</v>
      </c>
    </row>
    <row r="332">
      <c r="A332" s="4" t="n">
        <v>45974</v>
      </c>
      <c r="B332" t="n">
        <v>166.9</v>
      </c>
    </row>
    <row r="333">
      <c r="A333" s="4" t="n">
        <v>45974</v>
      </c>
      <c r="B333" t="n">
        <v>168.3</v>
      </c>
    </row>
    <row r="334">
      <c r="A334" s="4" t="n">
        <v>45975</v>
      </c>
      <c r="B334" t="n">
        <v>170</v>
      </c>
    </row>
    <row r="335">
      <c r="A335" s="4" t="n">
        <v>45976</v>
      </c>
      <c r="B335" t="n">
        <v>169.2</v>
      </c>
    </row>
    <row r="336">
      <c r="A336" s="4" t="n">
        <v>45977</v>
      </c>
      <c r="B336" t="n">
        <v>169</v>
      </c>
    </row>
    <row r="337">
      <c r="A337" s="4" t="n">
        <v>45977</v>
      </c>
      <c r="B337" t="n">
        <v>167</v>
      </c>
    </row>
    <row r="338">
      <c r="A338" s="4" t="n">
        <v>45978</v>
      </c>
      <c r="B338" t="n">
        <v>169.9</v>
      </c>
    </row>
    <row r="339">
      <c r="A339" s="4" t="n">
        <v>45979</v>
      </c>
      <c r="B339" t="n">
        <v>167.8</v>
      </c>
    </row>
    <row r="340">
      <c r="A340" s="4" t="n">
        <v>45980</v>
      </c>
      <c r="B340" t="n">
        <v>166.1</v>
      </c>
    </row>
    <row r="341">
      <c r="A341" s="4" t="n">
        <v>45980</v>
      </c>
      <c r="B341" t="n">
        <v>166.1</v>
      </c>
    </row>
    <row r="342">
      <c r="A342" s="4" t="n">
        <v>45987</v>
      </c>
      <c r="B342" t="n">
        <v>166.1</v>
      </c>
    </row>
    <row r="343">
      <c r="A343" s="4" t="n">
        <v>45992</v>
      </c>
      <c r="B343" t="n">
        <v>169.1</v>
      </c>
    </row>
    <row r="344">
      <c r="A344" s="4" t="n">
        <v>45994</v>
      </c>
      <c r="B344" t="n">
        <v>165.8</v>
      </c>
    </row>
    <row r="345">
      <c r="A345" s="4" t="n">
        <v>45994</v>
      </c>
      <c r="B345" t="n">
        <v>165.7</v>
      </c>
    </row>
    <row r="346">
      <c r="A346" s="4" t="n">
        <v>45994</v>
      </c>
      <c r="B346" t="n">
        <v>165.6</v>
      </c>
    </row>
    <row r="347">
      <c r="A347" s="4" t="n">
        <v>45994</v>
      </c>
      <c r="B347" t="n">
        <v>165.8</v>
      </c>
    </row>
    <row r="348">
      <c r="A348" s="4" t="n">
        <v>45995</v>
      </c>
      <c r="B348" t="n">
        <v>166.8</v>
      </c>
    </row>
    <row r="349">
      <c r="A349" s="4" t="n">
        <v>45996</v>
      </c>
      <c r="B349" t="n">
        <v>164.2</v>
      </c>
    </row>
    <row r="350">
      <c r="A350" s="4" t="n">
        <v>45996</v>
      </c>
      <c r="B350" t="n">
        <v>165.9</v>
      </c>
    </row>
    <row r="351">
      <c r="A351" s="4" t="n">
        <v>45998</v>
      </c>
      <c r="B351" t="n">
        <v>167.1</v>
      </c>
    </row>
    <row r="352">
      <c r="A352" s="4" t="n">
        <v>45999</v>
      </c>
      <c r="B352" t="n">
        <v>164.4</v>
      </c>
    </row>
    <row r="353">
      <c r="A353" s="4" t="n">
        <v>45999</v>
      </c>
      <c r="B353" t="n">
        <v>164.4</v>
      </c>
    </row>
    <row r="354">
      <c r="A354" s="4" t="n">
        <v>46000</v>
      </c>
      <c r="B354" t="n">
        <v>165.4</v>
      </c>
    </row>
    <row r="355">
      <c r="A355" s="4" t="n">
        <v>46000</v>
      </c>
      <c r="B355" t="n">
        <v>162.9</v>
      </c>
    </row>
    <row r="356">
      <c r="A356" s="4" t="n">
        <v>46000</v>
      </c>
      <c r="B356" t="n">
        <v>165.4</v>
      </c>
    </row>
    <row r="357">
      <c r="A357" s="4" t="n">
        <v>46000</v>
      </c>
      <c r="B357" t="n">
        <v>162.9</v>
      </c>
    </row>
    <row r="358">
      <c r="A358" s="4" t="n">
        <v>46000</v>
      </c>
      <c r="B358" t="n">
        <v>163</v>
      </c>
    </row>
    <row r="359">
      <c r="A359" s="4" t="n">
        <v>46000</v>
      </c>
      <c r="B359" t="n">
        <v>163</v>
      </c>
    </row>
    <row r="360">
      <c r="A360" s="4" t="n">
        <v>46001</v>
      </c>
      <c r="B360" t="n">
        <v>163.1</v>
      </c>
    </row>
    <row r="361">
      <c r="A361" s="4" t="n">
        <v>46001</v>
      </c>
      <c r="B361" t="n">
        <v>163.1</v>
      </c>
    </row>
    <row r="362">
      <c r="A362" s="4" t="n">
        <v>46002</v>
      </c>
      <c r="B362" t="n">
        <v>162.8</v>
      </c>
    </row>
    <row r="363">
      <c r="A363" s="4" t="n">
        <v>46002</v>
      </c>
      <c r="B363" t="n">
        <v>162.5</v>
      </c>
    </row>
    <row r="364">
      <c r="A364" s="4" t="n">
        <v>46002</v>
      </c>
      <c r="B364" t="n">
        <v>162.6</v>
      </c>
    </row>
    <row r="365">
      <c r="A365" s="4" t="n">
        <v>46002</v>
      </c>
      <c r="B365" t="n">
        <v>162.5</v>
      </c>
    </row>
    <row r="366">
      <c r="A366" s="4" t="n">
        <v>46002</v>
      </c>
      <c r="B366" t="n">
        <v>162.8</v>
      </c>
    </row>
    <row r="367">
      <c r="A367" s="4" t="n">
        <v>46002</v>
      </c>
      <c r="B367" t="n">
        <v>162.6</v>
      </c>
    </row>
    <row r="368">
      <c r="A368" s="4" t="n">
        <v>46003</v>
      </c>
      <c r="B368" t="n">
        <v>162.4</v>
      </c>
    </row>
    <row r="369">
      <c r="A369" s="4" t="n">
        <v>46004</v>
      </c>
      <c r="B369" t="n">
        <v>163</v>
      </c>
    </row>
    <row r="370">
      <c r="A370" s="4" t="n">
        <v>46004</v>
      </c>
      <c r="B370" t="n">
        <v>163.1</v>
      </c>
    </row>
    <row r="371">
      <c r="A371" s="4" t="n">
        <v>46006</v>
      </c>
      <c r="B371" t="n">
        <v>164.5</v>
      </c>
    </row>
    <row r="372">
      <c r="A372" s="4" t="n">
        <v>46007</v>
      </c>
      <c r="B372" t="n">
        <v>162.3</v>
      </c>
    </row>
    <row r="373">
      <c r="A373" s="4" t="n">
        <v>46007</v>
      </c>
      <c r="B373" t="n">
        <v>162.2</v>
      </c>
    </row>
    <row r="374">
      <c r="A374" s="4" t="n">
        <v>46008</v>
      </c>
      <c r="B374" t="n">
        <v>161.4</v>
      </c>
    </row>
    <row r="375">
      <c r="A375" s="4" t="n">
        <v>46008</v>
      </c>
      <c r="B375" t="n">
        <v>162.5</v>
      </c>
    </row>
    <row r="376">
      <c r="A376" s="4" t="n">
        <v>46008</v>
      </c>
      <c r="B376" t="n">
        <v>161.4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18" customWidth="1" style="15" min="2" max="2"/>
    <col width="16" customWidth="1" style="15" min="3" max="5"/>
    <col width="18" customWidth="1" style="15" min="6" max="6"/>
  </cols>
  <sheetData>
    <row r="1">
      <c r="A1" t="inlineStr">
        <is>
          <t>date</t>
        </is>
      </c>
      <c r="B1" t="inlineStr">
        <is>
          <t>weight_lbs_mean</t>
        </is>
      </c>
      <c r="C1" t="inlineStr">
        <is>
          <t>weight_lbs_min</t>
        </is>
      </c>
      <c r="D1" t="inlineStr">
        <is>
          <t>weight_lbs_max</t>
        </is>
      </c>
      <c r="E1" t="inlineStr">
        <is>
          <t>n_measurements</t>
        </is>
      </c>
      <c r="F1" t="inlineStr">
        <is>
          <t>weight_kg_mean</t>
        </is>
      </c>
    </row>
    <row r="2">
      <c r="A2" s="4" t="n">
        <v>45640</v>
      </c>
      <c r="B2" t="n">
        <v>232</v>
      </c>
      <c r="C2" t="n">
        <v>232</v>
      </c>
      <c r="D2" t="n">
        <v>232</v>
      </c>
      <c r="E2" t="n">
        <v>1</v>
      </c>
      <c r="F2" t="n">
        <v>105.23342984</v>
      </c>
    </row>
    <row r="3">
      <c r="A3" s="4" t="n">
        <v>45642</v>
      </c>
      <c r="B3" t="n">
        <v>226.2</v>
      </c>
      <c r="C3" t="n">
        <v>226.2</v>
      </c>
      <c r="D3" t="n">
        <v>226.2</v>
      </c>
      <c r="E3" t="n">
        <v>1</v>
      </c>
      <c r="F3" t="n">
        <v>102.602594094</v>
      </c>
    </row>
    <row r="4">
      <c r="A4" s="4" t="n">
        <v>45643</v>
      </c>
      <c r="B4" t="n">
        <v>224.9</v>
      </c>
      <c r="C4" t="n">
        <v>224.2</v>
      </c>
      <c r="D4" t="n">
        <v>225.6</v>
      </c>
      <c r="E4" t="n">
        <v>2</v>
      </c>
      <c r="F4" t="n">
        <v>102.012924013</v>
      </c>
    </row>
    <row r="5">
      <c r="A5" s="4" t="n">
        <v>45644</v>
      </c>
      <c r="B5" t="n">
        <v>223.4</v>
      </c>
      <c r="C5" t="n">
        <v>223.4</v>
      </c>
      <c r="D5" t="n">
        <v>223.4</v>
      </c>
      <c r="E5" t="n">
        <v>1</v>
      </c>
      <c r="F5" t="n">
        <v>101.332535458</v>
      </c>
    </row>
    <row r="6">
      <c r="A6" s="4" t="n">
        <v>45645</v>
      </c>
      <c r="B6" t="n">
        <v>223</v>
      </c>
      <c r="C6" t="n">
        <v>223</v>
      </c>
      <c r="D6" t="n">
        <v>223</v>
      </c>
      <c r="E6" t="n">
        <v>1</v>
      </c>
      <c r="F6" t="n">
        <v>101.15109851</v>
      </c>
    </row>
    <row r="7">
      <c r="A7" s="4" t="n">
        <v>45646</v>
      </c>
      <c r="B7" t="n">
        <v>222.4</v>
      </c>
      <c r="C7" t="n">
        <v>222.4</v>
      </c>
      <c r="D7" t="n">
        <v>222.4</v>
      </c>
      <c r="E7" t="n">
        <v>1</v>
      </c>
      <c r="F7" t="n">
        <v>100.878943088</v>
      </c>
    </row>
    <row r="8">
      <c r="A8" s="4" t="n">
        <v>45647</v>
      </c>
      <c r="B8" t="n">
        <v>222.6</v>
      </c>
      <c r="C8" t="n">
        <v>222.6</v>
      </c>
      <c r="D8" t="n">
        <v>222.6</v>
      </c>
      <c r="E8" t="n">
        <v>1</v>
      </c>
      <c r="F8" t="n">
        <v>100.969661562</v>
      </c>
    </row>
    <row r="9">
      <c r="A9" s="4" t="n">
        <v>45649</v>
      </c>
      <c r="B9" t="n">
        <v>222</v>
      </c>
      <c r="C9" t="n">
        <v>222</v>
      </c>
      <c r="D9" t="n">
        <v>222</v>
      </c>
      <c r="E9" t="n">
        <v>1</v>
      </c>
      <c r="F9" t="n">
        <v>100.69750614</v>
      </c>
    </row>
    <row r="10">
      <c r="A10" s="4" t="n">
        <v>45650</v>
      </c>
      <c r="B10" t="n">
        <v>220.6</v>
      </c>
      <c r="C10" t="n">
        <v>220.6</v>
      </c>
      <c r="D10" t="n">
        <v>220.6</v>
      </c>
      <c r="E10" t="n">
        <v>1</v>
      </c>
      <c r="F10" t="n">
        <v>100.062476822</v>
      </c>
    </row>
    <row r="11">
      <c r="A11" s="4" t="n">
        <v>45651</v>
      </c>
      <c r="B11" t="n">
        <v>220</v>
      </c>
      <c r="C11" t="n">
        <v>220</v>
      </c>
      <c r="D11" t="n">
        <v>220</v>
      </c>
      <c r="E11" t="n">
        <v>1</v>
      </c>
      <c r="F11" t="n">
        <v>99.79032140000001</v>
      </c>
    </row>
    <row r="12">
      <c r="A12" s="4" t="n">
        <v>45652</v>
      </c>
      <c r="B12" t="n">
        <v>219.2</v>
      </c>
      <c r="C12" t="n">
        <v>219.2</v>
      </c>
      <c r="D12" t="n">
        <v>219.2</v>
      </c>
      <c r="E12" t="n">
        <v>1</v>
      </c>
      <c r="F12" t="n">
        <v>99.427447504</v>
      </c>
    </row>
    <row r="13">
      <c r="A13" s="4" t="n">
        <v>45653</v>
      </c>
      <c r="B13" t="n">
        <v>220</v>
      </c>
      <c r="C13" t="n">
        <v>220</v>
      </c>
      <c r="D13" t="n">
        <v>220</v>
      </c>
      <c r="E13" t="n">
        <v>1</v>
      </c>
      <c r="F13" t="n">
        <v>99.79032140000001</v>
      </c>
    </row>
    <row r="14">
      <c r="A14" s="4" t="n">
        <v>45654</v>
      </c>
      <c r="B14" t="n">
        <v>219.2</v>
      </c>
      <c r="C14" t="n">
        <v>219.2</v>
      </c>
      <c r="D14" t="n">
        <v>219.2</v>
      </c>
      <c r="E14" t="n">
        <v>1</v>
      </c>
      <c r="F14" t="n">
        <v>99.427447504</v>
      </c>
    </row>
    <row r="15">
      <c r="A15" s="4" t="n">
        <v>45657</v>
      </c>
      <c r="B15" t="n">
        <v>219</v>
      </c>
      <c r="C15" t="n">
        <v>219</v>
      </c>
      <c r="D15" t="n">
        <v>219</v>
      </c>
      <c r="E15" t="n">
        <v>1</v>
      </c>
      <c r="F15" t="n">
        <v>99.33672903</v>
      </c>
    </row>
    <row r="16">
      <c r="A16" s="4" t="n">
        <v>45661</v>
      </c>
      <c r="B16" t="n">
        <v>219.1666666666667</v>
      </c>
      <c r="C16" t="n">
        <v>218.8</v>
      </c>
      <c r="D16" t="n">
        <v>219.8</v>
      </c>
      <c r="E16" t="n">
        <v>3</v>
      </c>
      <c r="F16" t="n">
        <v>99.41232775833333</v>
      </c>
    </row>
    <row r="17">
      <c r="A17" s="4" t="n">
        <v>45662</v>
      </c>
      <c r="B17" t="n">
        <v>218.7</v>
      </c>
      <c r="C17" t="n">
        <v>218.7</v>
      </c>
      <c r="D17" t="n">
        <v>218.7</v>
      </c>
      <c r="E17" t="n">
        <v>2</v>
      </c>
      <c r="F17" t="n">
        <v>99.200651319</v>
      </c>
    </row>
    <row r="18">
      <c r="A18" s="4" t="n">
        <v>45663</v>
      </c>
      <c r="B18" t="n">
        <v>217.9</v>
      </c>
      <c r="C18" t="n">
        <v>217.9</v>
      </c>
      <c r="D18" t="n">
        <v>217.9</v>
      </c>
      <c r="E18" t="n">
        <v>4</v>
      </c>
      <c r="F18" t="n">
        <v>98.83777742300001</v>
      </c>
    </row>
    <row r="19">
      <c r="A19" s="4" t="n">
        <v>45665</v>
      </c>
      <c r="B19" t="n">
        <v>217.55</v>
      </c>
      <c r="C19" t="n">
        <v>217</v>
      </c>
      <c r="D19" t="n">
        <v>218</v>
      </c>
      <c r="E19" t="n">
        <v>8</v>
      </c>
      <c r="F19" t="n">
        <v>98.67902009350001</v>
      </c>
    </row>
    <row r="20">
      <c r="A20" s="4" t="n">
        <v>45666</v>
      </c>
      <c r="B20" t="n">
        <v>217.65</v>
      </c>
      <c r="C20" t="n">
        <v>217.6</v>
      </c>
      <c r="D20" t="n">
        <v>217.7</v>
      </c>
      <c r="E20" t="n">
        <v>4</v>
      </c>
      <c r="F20" t="n">
        <v>98.7243793305</v>
      </c>
    </row>
    <row r="21">
      <c r="A21" s="4" t="n">
        <v>45667</v>
      </c>
      <c r="B21" t="n">
        <v>216.9</v>
      </c>
      <c r="C21" t="n">
        <v>216.9</v>
      </c>
      <c r="D21" t="n">
        <v>216.9</v>
      </c>
      <c r="E21" t="n">
        <v>4</v>
      </c>
      <c r="F21" t="n">
        <v>98.38418505300001</v>
      </c>
    </row>
    <row r="22">
      <c r="A22" s="4" t="n">
        <v>45668</v>
      </c>
      <c r="B22" t="n">
        <v>216.9</v>
      </c>
      <c r="C22" t="n">
        <v>216.9</v>
      </c>
      <c r="D22" t="n">
        <v>216.9</v>
      </c>
      <c r="E22" t="n">
        <v>2</v>
      </c>
      <c r="F22" t="n">
        <v>98.38418505300001</v>
      </c>
    </row>
    <row r="23">
      <c r="A23" s="4" t="n">
        <v>45669</v>
      </c>
      <c r="B23" t="n">
        <v>216.8</v>
      </c>
      <c r="C23" t="n">
        <v>216.8</v>
      </c>
      <c r="D23" t="n">
        <v>216.8</v>
      </c>
      <c r="E23" t="n">
        <v>2</v>
      </c>
      <c r="F23" t="n">
        <v>98.33882581600001</v>
      </c>
    </row>
    <row r="24">
      <c r="A24" s="4" t="n">
        <v>45670</v>
      </c>
      <c r="B24" t="n">
        <v>215.3</v>
      </c>
      <c r="C24" t="n">
        <v>215.3</v>
      </c>
      <c r="D24" t="n">
        <v>215.3</v>
      </c>
      <c r="E24" t="n">
        <v>2</v>
      </c>
      <c r="F24" t="n">
        <v>97.658437261</v>
      </c>
    </row>
    <row r="25">
      <c r="A25" s="4" t="n">
        <v>45671</v>
      </c>
      <c r="B25" t="n">
        <v>214.45</v>
      </c>
      <c r="C25" t="n">
        <v>214.3</v>
      </c>
      <c r="D25" t="n">
        <v>214.6</v>
      </c>
      <c r="E25" t="n">
        <v>4</v>
      </c>
      <c r="F25" t="n">
        <v>97.2728837465</v>
      </c>
    </row>
    <row r="26">
      <c r="A26" s="4" t="n">
        <v>45673</v>
      </c>
      <c r="B26" t="n">
        <v>215.2</v>
      </c>
      <c r="C26" t="n">
        <v>215.2</v>
      </c>
      <c r="D26" t="n">
        <v>215.2</v>
      </c>
      <c r="E26" t="n">
        <v>2</v>
      </c>
      <c r="F26" t="n">
        <v>97.613078024</v>
      </c>
    </row>
    <row r="27">
      <c r="A27" s="4" t="n">
        <v>45674</v>
      </c>
      <c r="B27" t="n">
        <v>215.6</v>
      </c>
      <c r="C27" t="n">
        <v>215.6</v>
      </c>
      <c r="D27" t="n">
        <v>215.6</v>
      </c>
      <c r="E27" t="n">
        <v>2</v>
      </c>
      <c r="F27" t="n">
        <v>97.794514972</v>
      </c>
    </row>
    <row r="28">
      <c r="A28" s="4" t="n">
        <v>45675</v>
      </c>
      <c r="B28" t="n">
        <v>215.45</v>
      </c>
      <c r="C28" t="n">
        <v>215</v>
      </c>
      <c r="D28" t="n">
        <v>215.9</v>
      </c>
      <c r="E28" t="n">
        <v>4</v>
      </c>
      <c r="F28" t="n">
        <v>97.7264761165</v>
      </c>
    </row>
    <row r="29">
      <c r="A29" s="4" t="n">
        <v>45676</v>
      </c>
      <c r="B29" t="n">
        <v>213.6</v>
      </c>
      <c r="C29" t="n">
        <v>213.3</v>
      </c>
      <c r="D29" t="n">
        <v>214.2</v>
      </c>
      <c r="E29" t="n">
        <v>6</v>
      </c>
      <c r="F29" t="n">
        <v>96.887330232</v>
      </c>
    </row>
    <row r="30">
      <c r="A30" s="4" t="n">
        <v>45677</v>
      </c>
      <c r="B30" t="n">
        <v>211.9</v>
      </c>
      <c r="C30" t="n">
        <v>211.9</v>
      </c>
      <c r="D30" t="n">
        <v>211.9</v>
      </c>
      <c r="E30" t="n">
        <v>2</v>
      </c>
      <c r="F30" t="n">
        <v>96.116223203</v>
      </c>
    </row>
    <row r="31">
      <c r="A31" s="4" t="n">
        <v>45678</v>
      </c>
      <c r="B31" t="n">
        <v>210.2333333333333</v>
      </c>
      <c r="C31" t="n">
        <v>204.9</v>
      </c>
      <c r="D31" t="n">
        <v>212.9</v>
      </c>
      <c r="E31" t="n">
        <v>6</v>
      </c>
      <c r="F31" t="n">
        <v>95.36023591966668</v>
      </c>
    </row>
    <row r="32">
      <c r="A32" s="4" t="n">
        <v>45679</v>
      </c>
      <c r="B32" t="n">
        <v>214.3</v>
      </c>
      <c r="C32" t="n">
        <v>214.3</v>
      </c>
      <c r="D32" t="n">
        <v>214.3</v>
      </c>
      <c r="E32" t="n">
        <v>2</v>
      </c>
      <c r="F32" t="n">
        <v>97.20484489100001</v>
      </c>
    </row>
    <row r="33">
      <c r="A33" s="4" t="n">
        <v>45680</v>
      </c>
      <c r="B33" t="n">
        <v>212.2333333333333</v>
      </c>
      <c r="C33" t="n">
        <v>212.2</v>
      </c>
      <c r="D33" t="n">
        <v>212.3</v>
      </c>
      <c r="E33" t="n">
        <v>6</v>
      </c>
      <c r="F33" t="n">
        <v>96.26742065966668</v>
      </c>
    </row>
    <row r="34">
      <c r="A34" s="4" t="n">
        <v>45682</v>
      </c>
      <c r="B34" t="n">
        <v>213.1</v>
      </c>
      <c r="C34" t="n">
        <v>213.1</v>
      </c>
      <c r="D34" t="n">
        <v>213.1</v>
      </c>
      <c r="E34" t="n">
        <v>2</v>
      </c>
      <c r="F34" t="n">
        <v>96.660534047</v>
      </c>
    </row>
    <row r="35">
      <c r="A35" s="4" t="n">
        <v>45683</v>
      </c>
      <c r="B35" t="n">
        <v>213</v>
      </c>
      <c r="C35" t="n">
        <v>213</v>
      </c>
      <c r="D35" t="n">
        <v>213</v>
      </c>
      <c r="E35" t="n">
        <v>2</v>
      </c>
      <c r="F35" t="n">
        <v>96.61517481</v>
      </c>
    </row>
    <row r="36">
      <c r="A36" s="4" t="n">
        <v>45684</v>
      </c>
      <c r="B36" t="n">
        <v>211.2</v>
      </c>
      <c r="C36" t="n">
        <v>211.2</v>
      </c>
      <c r="D36" t="n">
        <v>211.2</v>
      </c>
      <c r="E36" t="n">
        <v>1</v>
      </c>
      <c r="F36" t="n">
        <v>95.79870854399999</v>
      </c>
    </row>
    <row r="37">
      <c r="A37" s="4" t="n">
        <v>45685</v>
      </c>
      <c r="B37" t="n">
        <v>210.6</v>
      </c>
      <c r="C37" t="n">
        <v>210.6</v>
      </c>
      <c r="D37" t="n">
        <v>210.6</v>
      </c>
      <c r="E37" t="n">
        <v>1</v>
      </c>
      <c r="F37" t="n">
        <v>95.526553122</v>
      </c>
    </row>
    <row r="38">
      <c r="A38" s="4" t="n">
        <v>45686</v>
      </c>
      <c r="B38" t="n">
        <v>209.65</v>
      </c>
      <c r="C38" t="n">
        <v>209.6</v>
      </c>
      <c r="D38" t="n">
        <v>209.7</v>
      </c>
      <c r="E38" t="n">
        <v>4</v>
      </c>
      <c r="F38" t="n">
        <v>95.09564037049999</v>
      </c>
    </row>
    <row r="39">
      <c r="A39" s="4" t="n">
        <v>45687</v>
      </c>
      <c r="B39" t="n">
        <v>209.4</v>
      </c>
      <c r="C39" t="n">
        <v>209.4</v>
      </c>
      <c r="D39" t="n">
        <v>209.4</v>
      </c>
      <c r="E39" t="n">
        <v>1</v>
      </c>
      <c r="F39" t="n">
        <v>94.982242278</v>
      </c>
    </row>
    <row r="40">
      <c r="A40" s="4" t="n">
        <v>45688</v>
      </c>
      <c r="B40" t="n">
        <v>209.6</v>
      </c>
      <c r="C40" t="n">
        <v>209.6</v>
      </c>
      <c r="D40" t="n">
        <v>209.6</v>
      </c>
      <c r="E40" t="n">
        <v>1</v>
      </c>
      <c r="F40" t="n">
        <v>95.072960752</v>
      </c>
    </row>
    <row r="41">
      <c r="A41" s="4" t="n">
        <v>45690</v>
      </c>
      <c r="B41" t="n">
        <v>210</v>
      </c>
      <c r="C41" t="n">
        <v>210</v>
      </c>
      <c r="D41" t="n">
        <v>210</v>
      </c>
      <c r="E41" t="n">
        <v>1</v>
      </c>
      <c r="F41" t="n">
        <v>95.2543977</v>
      </c>
    </row>
    <row r="42">
      <c r="A42" s="4" t="n">
        <v>45691</v>
      </c>
      <c r="B42" t="n">
        <v>210</v>
      </c>
      <c r="C42" t="n">
        <v>210</v>
      </c>
      <c r="D42" t="n">
        <v>210</v>
      </c>
      <c r="E42" t="n">
        <v>1</v>
      </c>
      <c r="F42" t="n">
        <v>95.2543977</v>
      </c>
    </row>
    <row r="43">
      <c r="A43" s="4" t="n">
        <v>45692</v>
      </c>
      <c r="B43" t="n">
        <v>209.9</v>
      </c>
      <c r="C43" t="n">
        <v>209.9</v>
      </c>
      <c r="D43" t="n">
        <v>209.9</v>
      </c>
      <c r="E43" t="n">
        <v>1</v>
      </c>
      <c r="F43" t="n">
        <v>95.20903846300001</v>
      </c>
    </row>
    <row r="44">
      <c r="A44" s="4" t="n">
        <v>45693</v>
      </c>
      <c r="B44" t="n">
        <v>208.1</v>
      </c>
      <c r="C44" t="n">
        <v>208.1</v>
      </c>
      <c r="D44" t="n">
        <v>208.1</v>
      </c>
      <c r="E44" t="n">
        <v>1</v>
      </c>
      <c r="F44" t="n">
        <v>94.39257219700001</v>
      </c>
    </row>
    <row r="45">
      <c r="A45" s="4" t="n">
        <v>45694</v>
      </c>
      <c r="B45" t="n">
        <v>207.6</v>
      </c>
      <c r="C45" t="n">
        <v>207.2</v>
      </c>
      <c r="D45" t="n">
        <v>208</v>
      </c>
      <c r="E45" t="n">
        <v>2</v>
      </c>
      <c r="F45" t="n">
        <v>94.16577601200001</v>
      </c>
    </row>
    <row r="46">
      <c r="A46" s="4" t="n">
        <v>45695</v>
      </c>
      <c r="B46" t="n">
        <v>208</v>
      </c>
      <c r="C46" t="n">
        <v>208</v>
      </c>
      <c r="D46" t="n">
        <v>208</v>
      </c>
      <c r="E46" t="n">
        <v>1</v>
      </c>
      <c r="F46" t="n">
        <v>94.34721296000001</v>
      </c>
    </row>
    <row r="47">
      <c r="A47" s="4" t="n">
        <v>45697</v>
      </c>
      <c r="B47" t="n">
        <v>209.1</v>
      </c>
      <c r="C47" t="n">
        <v>209.1</v>
      </c>
      <c r="D47" t="n">
        <v>209.1</v>
      </c>
      <c r="E47" t="n">
        <v>1</v>
      </c>
      <c r="F47" t="n">
        <v>94.846164567</v>
      </c>
    </row>
    <row r="48">
      <c r="A48" s="4" t="n">
        <v>45698</v>
      </c>
      <c r="B48" t="n">
        <v>208.1</v>
      </c>
      <c r="C48" t="n">
        <v>208.1</v>
      </c>
      <c r="D48" t="n">
        <v>208.1</v>
      </c>
      <c r="E48" t="n">
        <v>1</v>
      </c>
      <c r="F48" t="n">
        <v>94.39257219700001</v>
      </c>
    </row>
    <row r="49">
      <c r="A49" s="4" t="n">
        <v>45700</v>
      </c>
      <c r="B49" t="n">
        <v>205.6</v>
      </c>
      <c r="C49" t="n">
        <v>205.4</v>
      </c>
      <c r="D49" t="n">
        <v>205.9</v>
      </c>
      <c r="E49" t="n">
        <v>3</v>
      </c>
      <c r="F49" t="n">
        <v>93.258591272</v>
      </c>
    </row>
    <row r="50">
      <c r="A50" s="4" t="n">
        <v>45701</v>
      </c>
      <c r="B50" t="n">
        <v>205.2</v>
      </c>
      <c r="C50" t="n">
        <v>205.2</v>
      </c>
      <c r="D50" t="n">
        <v>205.2</v>
      </c>
      <c r="E50" t="n">
        <v>1</v>
      </c>
      <c r="F50" t="n">
        <v>93.07715432400001</v>
      </c>
    </row>
    <row r="51">
      <c r="A51" s="4" t="n">
        <v>45703</v>
      </c>
      <c r="B51" t="n">
        <v>205.7</v>
      </c>
      <c r="C51" t="n">
        <v>205.7</v>
      </c>
      <c r="D51" t="n">
        <v>205.7</v>
      </c>
      <c r="E51" t="n">
        <v>1</v>
      </c>
      <c r="F51" t="n">
        <v>93.303950509</v>
      </c>
    </row>
    <row r="52">
      <c r="A52" s="4" t="n">
        <v>45704</v>
      </c>
      <c r="B52" t="n">
        <v>206.2</v>
      </c>
      <c r="C52" t="n">
        <v>206.2</v>
      </c>
      <c r="D52" t="n">
        <v>206.2</v>
      </c>
      <c r="E52" t="n">
        <v>1</v>
      </c>
      <c r="F52" t="n">
        <v>93.530746694</v>
      </c>
    </row>
    <row r="53">
      <c r="A53" s="4" t="n">
        <v>45705</v>
      </c>
      <c r="B53" t="n">
        <v>205.4</v>
      </c>
      <c r="C53" t="n">
        <v>205.4</v>
      </c>
      <c r="D53" t="n">
        <v>205.4</v>
      </c>
      <c r="E53" t="n">
        <v>2</v>
      </c>
      <c r="F53" t="n">
        <v>93.167872798</v>
      </c>
    </row>
    <row r="54">
      <c r="A54" s="4" t="n">
        <v>45706</v>
      </c>
      <c r="B54" t="n">
        <v>204.7</v>
      </c>
      <c r="C54" t="n">
        <v>204.7</v>
      </c>
      <c r="D54" t="n">
        <v>204.7</v>
      </c>
      <c r="E54" t="n">
        <v>1</v>
      </c>
      <c r="F54" t="n">
        <v>92.85035813899999</v>
      </c>
    </row>
    <row r="55">
      <c r="A55" s="4" t="n">
        <v>45707</v>
      </c>
      <c r="B55" t="n">
        <v>203.7</v>
      </c>
      <c r="C55" t="n">
        <v>203.7</v>
      </c>
      <c r="D55" t="n">
        <v>203.7</v>
      </c>
      <c r="E55" t="n">
        <v>1</v>
      </c>
      <c r="F55" t="n">
        <v>92.396765769</v>
      </c>
    </row>
    <row r="56">
      <c r="A56" s="4" t="n">
        <v>45708</v>
      </c>
      <c r="B56" t="n">
        <v>202.8</v>
      </c>
      <c r="C56" t="n">
        <v>202.8</v>
      </c>
      <c r="D56" t="n">
        <v>202.8</v>
      </c>
      <c r="E56" t="n">
        <v>2</v>
      </c>
      <c r="F56" t="n">
        <v>91.98853263600002</v>
      </c>
    </row>
    <row r="57">
      <c r="A57" s="4" t="n">
        <v>45709</v>
      </c>
      <c r="B57" t="n">
        <v>203.4</v>
      </c>
      <c r="C57" t="n">
        <v>203.4</v>
      </c>
      <c r="D57" t="n">
        <v>203.4</v>
      </c>
      <c r="E57" t="n">
        <v>2</v>
      </c>
      <c r="F57" t="n">
        <v>92.26068805800001</v>
      </c>
    </row>
    <row r="58">
      <c r="A58" s="4" t="n">
        <v>45710</v>
      </c>
      <c r="B58" t="n">
        <v>202.9</v>
      </c>
      <c r="C58" t="n">
        <v>202.9</v>
      </c>
      <c r="D58" t="n">
        <v>202.9</v>
      </c>
      <c r="E58" t="n">
        <v>1</v>
      </c>
      <c r="F58" t="n">
        <v>92.033891873</v>
      </c>
    </row>
    <row r="59">
      <c r="A59" s="4" t="n">
        <v>45712</v>
      </c>
      <c r="B59" t="n">
        <v>202</v>
      </c>
      <c r="C59" t="n">
        <v>202</v>
      </c>
      <c r="D59" t="n">
        <v>202</v>
      </c>
      <c r="E59" t="n">
        <v>1</v>
      </c>
      <c r="F59" t="n">
        <v>91.62565874000001</v>
      </c>
    </row>
    <row r="60">
      <c r="A60" s="4" t="n">
        <v>45714</v>
      </c>
      <c r="B60" t="n">
        <v>201.5</v>
      </c>
      <c r="C60" t="n">
        <v>201.5</v>
      </c>
      <c r="D60" t="n">
        <v>201.5</v>
      </c>
      <c r="E60" t="n">
        <v>1</v>
      </c>
      <c r="F60" t="n">
        <v>91.39886255500001</v>
      </c>
    </row>
    <row r="61">
      <c r="A61" s="4" t="n">
        <v>45715</v>
      </c>
      <c r="B61" t="n">
        <v>202.4</v>
      </c>
      <c r="C61" t="n">
        <v>202.4</v>
      </c>
      <c r="D61" t="n">
        <v>202.4</v>
      </c>
      <c r="E61" t="n">
        <v>1</v>
      </c>
      <c r="F61" t="n">
        <v>91.807095688</v>
      </c>
    </row>
    <row r="62">
      <c r="A62" s="4" t="n">
        <v>45716</v>
      </c>
      <c r="B62" t="n">
        <v>201.9</v>
      </c>
      <c r="C62" t="n">
        <v>201.9</v>
      </c>
      <c r="D62" t="n">
        <v>201.9</v>
      </c>
      <c r="E62" t="n">
        <v>2</v>
      </c>
      <c r="F62" t="n">
        <v>91.58029950300001</v>
      </c>
    </row>
    <row r="63">
      <c r="A63" s="4" t="n">
        <v>45717</v>
      </c>
      <c r="B63" t="n">
        <v>201.2333333333333</v>
      </c>
      <c r="C63" t="n">
        <v>201.1</v>
      </c>
      <c r="D63" t="n">
        <v>201.4</v>
      </c>
      <c r="E63" t="n">
        <v>3</v>
      </c>
      <c r="F63" t="n">
        <v>91.27790458966668</v>
      </c>
    </row>
    <row r="64">
      <c r="A64" s="4" t="n">
        <v>45718</v>
      </c>
      <c r="B64" t="n">
        <v>201.75</v>
      </c>
      <c r="C64" t="n">
        <v>201.3</v>
      </c>
      <c r="D64" t="n">
        <v>202.2</v>
      </c>
      <c r="E64" t="n">
        <v>2</v>
      </c>
      <c r="F64" t="n">
        <v>91.5122606475</v>
      </c>
    </row>
    <row r="65">
      <c r="A65" s="4" t="n">
        <v>45720</v>
      </c>
      <c r="B65" t="n">
        <v>198.9</v>
      </c>
      <c r="C65" t="n">
        <v>198.9</v>
      </c>
      <c r="D65" t="n">
        <v>198.9</v>
      </c>
      <c r="E65" t="n">
        <v>2</v>
      </c>
      <c r="F65" t="n">
        <v>90.21952239300001</v>
      </c>
    </row>
    <row r="66">
      <c r="A66" s="4" t="n">
        <v>45721</v>
      </c>
      <c r="B66" t="n">
        <v>198.3</v>
      </c>
      <c r="C66" t="n">
        <v>198.3</v>
      </c>
      <c r="D66" t="n">
        <v>198.3</v>
      </c>
      <c r="E66" t="n">
        <v>2</v>
      </c>
      <c r="F66" t="n">
        <v>89.94736697100001</v>
      </c>
    </row>
    <row r="67">
      <c r="A67" s="4" t="n">
        <v>45722</v>
      </c>
      <c r="B67" t="n">
        <v>197</v>
      </c>
      <c r="C67" t="n">
        <v>197</v>
      </c>
      <c r="D67" t="n">
        <v>197</v>
      </c>
      <c r="E67" t="n">
        <v>1</v>
      </c>
      <c r="F67" t="n">
        <v>89.35769689</v>
      </c>
    </row>
    <row r="68">
      <c r="A68" s="4" t="n">
        <v>45723</v>
      </c>
      <c r="B68" t="n">
        <v>196.4</v>
      </c>
      <c r="C68" t="n">
        <v>196.4</v>
      </c>
      <c r="D68" t="n">
        <v>196.4</v>
      </c>
      <c r="E68" t="n">
        <v>1</v>
      </c>
      <c r="F68" t="n">
        <v>89.085541468</v>
      </c>
    </row>
    <row r="69">
      <c r="A69" s="4" t="n">
        <v>45725</v>
      </c>
      <c r="B69" t="n">
        <v>196.3</v>
      </c>
      <c r="C69" t="n">
        <v>196.3</v>
      </c>
      <c r="D69" t="n">
        <v>196.3</v>
      </c>
      <c r="E69" t="n">
        <v>1</v>
      </c>
      <c r="F69" t="n">
        <v>89.040182231</v>
      </c>
    </row>
    <row r="70">
      <c r="A70" s="4" t="n">
        <v>45726</v>
      </c>
      <c r="B70" t="n">
        <v>195.4</v>
      </c>
      <c r="C70" t="n">
        <v>195.4</v>
      </c>
      <c r="D70" t="n">
        <v>195.4</v>
      </c>
      <c r="E70" t="n">
        <v>1</v>
      </c>
      <c r="F70" t="n">
        <v>88.63194909800001</v>
      </c>
    </row>
    <row r="71">
      <c r="A71" s="4" t="n">
        <v>45727</v>
      </c>
      <c r="B71" t="n">
        <v>195.4</v>
      </c>
      <c r="C71" t="n">
        <v>195.4</v>
      </c>
      <c r="D71" t="n">
        <v>195.4</v>
      </c>
      <c r="E71" t="n">
        <v>2</v>
      </c>
      <c r="F71" t="n">
        <v>88.63194909800001</v>
      </c>
    </row>
    <row r="72">
      <c r="A72" s="4" t="n">
        <v>45728</v>
      </c>
      <c r="B72" t="n">
        <v>195.3</v>
      </c>
      <c r="C72" t="n">
        <v>195.3</v>
      </c>
      <c r="D72" t="n">
        <v>195.3</v>
      </c>
      <c r="E72" t="n">
        <v>1</v>
      </c>
      <c r="F72" t="n">
        <v>88.58658986100001</v>
      </c>
    </row>
    <row r="73">
      <c r="A73" s="4" t="n">
        <v>45729</v>
      </c>
      <c r="B73" t="n">
        <v>196.3</v>
      </c>
      <c r="C73" t="n">
        <v>196.3</v>
      </c>
      <c r="D73" t="n">
        <v>196.3</v>
      </c>
      <c r="E73" t="n">
        <v>1</v>
      </c>
      <c r="F73" t="n">
        <v>89.040182231</v>
      </c>
    </row>
    <row r="74">
      <c r="A74" s="4" t="n">
        <v>45731</v>
      </c>
      <c r="B74" t="n">
        <v>196.9</v>
      </c>
      <c r="C74" t="n">
        <v>196.9</v>
      </c>
      <c r="D74" t="n">
        <v>196.9</v>
      </c>
      <c r="E74" t="n">
        <v>1</v>
      </c>
      <c r="F74" t="n">
        <v>89.312337653</v>
      </c>
    </row>
    <row r="75">
      <c r="A75" s="4" t="n">
        <v>45740</v>
      </c>
      <c r="B75" t="n">
        <v>194.1</v>
      </c>
      <c r="C75" t="n">
        <v>194.1</v>
      </c>
      <c r="D75" t="n">
        <v>194.1</v>
      </c>
      <c r="E75" t="n">
        <v>1</v>
      </c>
      <c r="F75" t="n">
        <v>88.042279017</v>
      </c>
    </row>
    <row r="76">
      <c r="A76" s="4" t="n">
        <v>45741</v>
      </c>
      <c r="B76" t="n">
        <v>192.8</v>
      </c>
      <c r="C76" t="n">
        <v>192.8</v>
      </c>
      <c r="D76" t="n">
        <v>192.8</v>
      </c>
      <c r="E76" t="n">
        <v>1</v>
      </c>
      <c r="F76" t="n">
        <v>87.452608936</v>
      </c>
    </row>
    <row r="77">
      <c r="A77" s="4" t="n">
        <v>45743</v>
      </c>
      <c r="B77" t="n">
        <v>191.2</v>
      </c>
      <c r="C77" t="n">
        <v>191.2</v>
      </c>
      <c r="D77" t="n">
        <v>191.2</v>
      </c>
      <c r="E77" t="n">
        <v>1</v>
      </c>
      <c r="F77" t="n">
        <v>86.726861144</v>
      </c>
    </row>
    <row r="78">
      <c r="A78" s="4" t="n">
        <v>45744</v>
      </c>
      <c r="B78" t="n">
        <v>191.05</v>
      </c>
      <c r="C78" t="n">
        <v>191</v>
      </c>
      <c r="D78" t="n">
        <v>191.1</v>
      </c>
      <c r="E78" t="n">
        <v>2</v>
      </c>
      <c r="F78" t="n">
        <v>86.65882228850001</v>
      </c>
    </row>
    <row r="79">
      <c r="A79" s="4" t="n">
        <v>45745</v>
      </c>
      <c r="B79" t="n">
        <v>190.8</v>
      </c>
      <c r="C79" t="n">
        <v>190.8</v>
      </c>
      <c r="D79" t="n">
        <v>190.8</v>
      </c>
      <c r="E79" t="n">
        <v>1</v>
      </c>
      <c r="F79" t="n">
        <v>86.54542419600001</v>
      </c>
    </row>
    <row r="80">
      <c r="A80" s="4" t="n">
        <v>45746</v>
      </c>
      <c r="B80" t="n">
        <v>191.5</v>
      </c>
      <c r="C80" t="n">
        <v>191.5</v>
      </c>
      <c r="D80" t="n">
        <v>191.5</v>
      </c>
      <c r="E80" t="n">
        <v>1</v>
      </c>
      <c r="F80" t="n">
        <v>86.86293885500001</v>
      </c>
    </row>
    <row r="81">
      <c r="A81" s="4" t="n">
        <v>45747</v>
      </c>
      <c r="B81" t="n">
        <v>192.1</v>
      </c>
      <c r="C81" t="n">
        <v>192.1</v>
      </c>
      <c r="D81" t="n">
        <v>192.1</v>
      </c>
      <c r="E81" t="n">
        <v>1</v>
      </c>
      <c r="F81" t="n">
        <v>87.13509427700001</v>
      </c>
    </row>
    <row r="82">
      <c r="A82" s="4" t="n">
        <v>45748</v>
      </c>
      <c r="B82" t="n">
        <v>191.5</v>
      </c>
      <c r="C82" t="n">
        <v>191.5</v>
      </c>
      <c r="D82" t="n">
        <v>191.5</v>
      </c>
      <c r="E82" t="n">
        <v>1</v>
      </c>
      <c r="F82" t="n">
        <v>86.86293885500001</v>
      </c>
    </row>
    <row r="83">
      <c r="A83" s="4" t="n">
        <v>45749</v>
      </c>
      <c r="B83" t="n">
        <v>191.1</v>
      </c>
      <c r="C83" t="n">
        <v>191.1</v>
      </c>
      <c r="D83" t="n">
        <v>191.1</v>
      </c>
      <c r="E83" t="n">
        <v>1</v>
      </c>
      <c r="F83" t="n">
        <v>86.681501907</v>
      </c>
    </row>
    <row r="84">
      <c r="A84" s="4" t="n">
        <v>45751</v>
      </c>
      <c r="B84" t="n">
        <v>190</v>
      </c>
      <c r="C84" t="n">
        <v>190</v>
      </c>
      <c r="D84" t="n">
        <v>190</v>
      </c>
      <c r="E84" t="n">
        <v>2</v>
      </c>
      <c r="F84" t="n">
        <v>86.1825503</v>
      </c>
    </row>
    <row r="85">
      <c r="A85" s="4" t="n">
        <v>45753</v>
      </c>
      <c r="B85" t="n">
        <v>189.55</v>
      </c>
      <c r="C85" t="n">
        <v>189.5</v>
      </c>
      <c r="D85" t="n">
        <v>189.6</v>
      </c>
      <c r="E85" t="n">
        <v>2</v>
      </c>
      <c r="F85" t="n">
        <v>85.97843373350001</v>
      </c>
    </row>
    <row r="86">
      <c r="A86" s="4" t="n">
        <v>45754</v>
      </c>
      <c r="B86" t="n">
        <v>189.4</v>
      </c>
      <c r="C86" t="n">
        <v>189.4</v>
      </c>
      <c r="D86" t="n">
        <v>189.4</v>
      </c>
      <c r="E86" t="n">
        <v>1</v>
      </c>
      <c r="F86" t="n">
        <v>85.91039487800001</v>
      </c>
    </row>
    <row r="87">
      <c r="A87" s="4" t="n">
        <v>45755</v>
      </c>
      <c r="B87" t="n">
        <v>189</v>
      </c>
      <c r="C87" t="n">
        <v>189</v>
      </c>
      <c r="D87" t="n">
        <v>189</v>
      </c>
      <c r="E87" t="n">
        <v>1</v>
      </c>
      <c r="F87" t="n">
        <v>85.72895793000001</v>
      </c>
    </row>
    <row r="88">
      <c r="A88" s="4" t="n">
        <v>45756</v>
      </c>
      <c r="B88" t="n">
        <v>190</v>
      </c>
      <c r="C88" t="n">
        <v>190</v>
      </c>
      <c r="D88" t="n">
        <v>190</v>
      </c>
      <c r="E88" t="n">
        <v>1</v>
      </c>
      <c r="F88" t="n">
        <v>86.1825503</v>
      </c>
    </row>
    <row r="89">
      <c r="A89" s="4" t="n">
        <v>45760</v>
      </c>
      <c r="B89" t="n">
        <v>189.9</v>
      </c>
      <c r="C89" t="n">
        <v>189.9</v>
      </c>
      <c r="D89" t="n">
        <v>189.9</v>
      </c>
      <c r="E89" t="n">
        <v>1</v>
      </c>
      <c r="F89" t="n">
        <v>86.137191063</v>
      </c>
    </row>
    <row r="90">
      <c r="A90" s="4" t="n">
        <v>45761</v>
      </c>
      <c r="B90" t="n">
        <v>189.8</v>
      </c>
      <c r="C90" t="n">
        <v>189.8</v>
      </c>
      <c r="D90" t="n">
        <v>189.8</v>
      </c>
      <c r="E90" t="n">
        <v>1</v>
      </c>
      <c r="F90" t="n">
        <v>86.091831826</v>
      </c>
    </row>
    <row r="91">
      <c r="A91" s="4" t="n">
        <v>45762</v>
      </c>
      <c r="B91" t="n">
        <v>188.8</v>
      </c>
      <c r="C91" t="n">
        <v>188.8</v>
      </c>
      <c r="D91" t="n">
        <v>188.8</v>
      </c>
      <c r="E91" t="n">
        <v>1</v>
      </c>
      <c r="F91" t="n">
        <v>85.63823945600001</v>
      </c>
    </row>
    <row r="92">
      <c r="A92" s="4" t="n">
        <v>45763</v>
      </c>
      <c r="B92" t="n">
        <v>188.7</v>
      </c>
      <c r="C92" t="n">
        <v>188.7</v>
      </c>
      <c r="D92" t="n">
        <v>188.7</v>
      </c>
      <c r="E92" t="n">
        <v>1</v>
      </c>
      <c r="F92" t="n">
        <v>85.59288021899999</v>
      </c>
    </row>
    <row r="93">
      <c r="A93" s="4" t="n">
        <v>45764</v>
      </c>
      <c r="B93" t="n">
        <v>187.5</v>
      </c>
      <c r="C93" t="n">
        <v>187.5</v>
      </c>
      <c r="D93" t="n">
        <v>187.5</v>
      </c>
      <c r="E93" t="n">
        <v>2</v>
      </c>
      <c r="F93" t="n">
        <v>85.048569375</v>
      </c>
    </row>
    <row r="94">
      <c r="A94" s="4" t="n">
        <v>45765</v>
      </c>
      <c r="B94" t="n">
        <v>187.3</v>
      </c>
      <c r="C94" t="n">
        <v>187.3</v>
      </c>
      <c r="D94" t="n">
        <v>187.3</v>
      </c>
      <c r="E94" t="n">
        <v>2</v>
      </c>
      <c r="F94" t="n">
        <v>84.95785090100001</v>
      </c>
    </row>
    <row r="95">
      <c r="A95" s="4" t="n">
        <v>45766</v>
      </c>
      <c r="B95" t="n">
        <v>188</v>
      </c>
      <c r="C95" t="n">
        <v>188</v>
      </c>
      <c r="D95" t="n">
        <v>188</v>
      </c>
      <c r="E95" t="n">
        <v>1</v>
      </c>
      <c r="F95" t="n">
        <v>85.27536556</v>
      </c>
    </row>
    <row r="96">
      <c r="A96" s="4" t="n">
        <v>45769</v>
      </c>
      <c r="B96" t="n">
        <v>188</v>
      </c>
      <c r="C96" t="n">
        <v>188</v>
      </c>
      <c r="D96" t="n">
        <v>188</v>
      </c>
      <c r="E96" t="n">
        <v>1</v>
      </c>
      <c r="F96" t="n">
        <v>85.27536556</v>
      </c>
    </row>
    <row r="97">
      <c r="A97" s="4" t="n">
        <v>45770</v>
      </c>
      <c r="B97" t="n">
        <v>186.6</v>
      </c>
      <c r="C97" t="n">
        <v>186.6</v>
      </c>
      <c r="D97" t="n">
        <v>186.6</v>
      </c>
      <c r="E97" t="n">
        <v>2</v>
      </c>
      <c r="F97" t="n">
        <v>84.640336242</v>
      </c>
    </row>
    <row r="98">
      <c r="A98" s="4" t="n">
        <v>45771</v>
      </c>
      <c r="B98" t="n">
        <v>186.075</v>
      </c>
      <c r="C98" t="n">
        <v>186</v>
      </c>
      <c r="D98" t="n">
        <v>186.1</v>
      </c>
      <c r="E98" t="n">
        <v>4</v>
      </c>
      <c r="F98" t="n">
        <v>84.40220024775</v>
      </c>
    </row>
    <row r="99">
      <c r="A99" s="4" t="n">
        <v>45779</v>
      </c>
      <c r="B99" t="n">
        <v>187.1</v>
      </c>
      <c r="C99" t="n">
        <v>187.1</v>
      </c>
      <c r="D99" t="n">
        <v>187.1</v>
      </c>
      <c r="E99" t="n">
        <v>1</v>
      </c>
      <c r="F99" t="n">
        <v>84.867132427</v>
      </c>
    </row>
    <row r="100">
      <c r="A100" s="4" t="n">
        <v>45780</v>
      </c>
      <c r="B100" t="n">
        <v>188</v>
      </c>
      <c r="C100" t="n">
        <v>188</v>
      </c>
      <c r="D100" t="n">
        <v>188</v>
      </c>
      <c r="E100" t="n">
        <v>1</v>
      </c>
      <c r="F100" t="n">
        <v>85.27536556</v>
      </c>
    </row>
    <row r="101">
      <c r="A101" s="4" t="n">
        <v>45783</v>
      </c>
      <c r="B101" t="n">
        <v>185.05</v>
      </c>
      <c r="C101" t="n">
        <v>185</v>
      </c>
      <c r="D101" t="n">
        <v>185.1</v>
      </c>
      <c r="E101" t="n">
        <v>2</v>
      </c>
      <c r="F101" t="n">
        <v>83.9372680685</v>
      </c>
    </row>
    <row r="102">
      <c r="A102" s="4" t="n">
        <v>45784</v>
      </c>
      <c r="B102" t="n">
        <v>184.75</v>
      </c>
      <c r="C102" t="n">
        <v>184.7</v>
      </c>
      <c r="D102" t="n">
        <v>184.8</v>
      </c>
      <c r="E102" t="n">
        <v>2</v>
      </c>
      <c r="F102" t="n">
        <v>83.8011903575</v>
      </c>
    </row>
    <row r="103">
      <c r="A103" s="4" t="n">
        <v>45785</v>
      </c>
      <c r="B103" t="n">
        <v>184.6</v>
      </c>
      <c r="C103" t="n">
        <v>184.6</v>
      </c>
      <c r="D103" t="n">
        <v>184.6</v>
      </c>
      <c r="E103" t="n">
        <v>2</v>
      </c>
      <c r="F103" t="n">
        <v>83.733151502</v>
      </c>
    </row>
    <row r="104">
      <c r="A104" s="4" t="n">
        <v>45786</v>
      </c>
      <c r="B104" t="n">
        <v>185.2</v>
      </c>
      <c r="C104" t="n">
        <v>185.2</v>
      </c>
      <c r="D104" t="n">
        <v>185.2</v>
      </c>
      <c r="E104" t="n">
        <v>1</v>
      </c>
      <c r="F104" t="n">
        <v>84.005306924</v>
      </c>
    </row>
    <row r="105">
      <c r="A105" s="4" t="n">
        <v>45789</v>
      </c>
      <c r="B105" t="n">
        <v>186</v>
      </c>
      <c r="C105" t="n">
        <v>186</v>
      </c>
      <c r="D105" t="n">
        <v>186</v>
      </c>
      <c r="E105" t="n">
        <v>1</v>
      </c>
      <c r="F105" t="n">
        <v>84.36818082000001</v>
      </c>
    </row>
    <row r="106">
      <c r="A106" s="4" t="n">
        <v>45791</v>
      </c>
      <c r="B106" t="n">
        <v>187</v>
      </c>
      <c r="C106" t="n">
        <v>187</v>
      </c>
      <c r="D106" t="n">
        <v>187</v>
      </c>
      <c r="E106" t="n">
        <v>1</v>
      </c>
      <c r="F106" t="n">
        <v>84.82177319</v>
      </c>
    </row>
    <row r="107">
      <c r="A107" s="4" t="n">
        <v>45792</v>
      </c>
      <c r="B107" t="n">
        <v>186.5</v>
      </c>
      <c r="C107" t="n">
        <v>186.5</v>
      </c>
      <c r="D107" t="n">
        <v>186.5</v>
      </c>
      <c r="E107" t="n">
        <v>1</v>
      </c>
      <c r="F107" t="n">
        <v>84.594977005</v>
      </c>
    </row>
    <row r="108">
      <c r="A108" s="4" t="n">
        <v>45793</v>
      </c>
      <c r="B108" t="n">
        <v>185.1</v>
      </c>
      <c r="C108" t="n">
        <v>185.1</v>
      </c>
      <c r="D108" t="n">
        <v>185.1</v>
      </c>
      <c r="E108" t="n">
        <v>1</v>
      </c>
      <c r="F108" t="n">
        <v>83.959947687</v>
      </c>
    </row>
    <row r="109">
      <c r="A109" s="4" t="n">
        <v>45794</v>
      </c>
      <c r="B109" t="n">
        <v>183.8666666666667</v>
      </c>
      <c r="C109" t="n">
        <v>183.6</v>
      </c>
      <c r="D109" t="n">
        <v>184.4</v>
      </c>
      <c r="E109" t="n">
        <v>3</v>
      </c>
      <c r="F109" t="n">
        <v>83.40051709733333</v>
      </c>
    </row>
    <row r="110">
      <c r="A110" s="4" t="n">
        <v>45795</v>
      </c>
      <c r="B110" t="n">
        <v>182.4</v>
      </c>
      <c r="C110" t="n">
        <v>182.4</v>
      </c>
      <c r="D110" t="n">
        <v>182.4</v>
      </c>
      <c r="E110" t="n">
        <v>1</v>
      </c>
      <c r="F110" t="n">
        <v>82.73524828800001</v>
      </c>
    </row>
    <row r="111">
      <c r="A111" s="4" t="n">
        <v>45796</v>
      </c>
      <c r="B111" t="n">
        <v>182.95</v>
      </c>
      <c r="C111" t="n">
        <v>182.9</v>
      </c>
      <c r="D111" t="n">
        <v>183</v>
      </c>
      <c r="E111" t="n">
        <v>2</v>
      </c>
      <c r="F111" t="n">
        <v>82.9847240915</v>
      </c>
    </row>
    <row r="112">
      <c r="A112" s="4" t="n">
        <v>45797</v>
      </c>
      <c r="B112" t="n">
        <v>183.5</v>
      </c>
      <c r="C112" t="n">
        <v>182.8</v>
      </c>
      <c r="D112" t="n">
        <v>184.2</v>
      </c>
      <c r="E112" t="n">
        <v>2</v>
      </c>
      <c r="F112" t="n">
        <v>83.234199895</v>
      </c>
    </row>
    <row r="113">
      <c r="A113" s="4" t="n">
        <v>45798</v>
      </c>
      <c r="B113" t="n">
        <v>182.85</v>
      </c>
      <c r="C113" t="n">
        <v>182.8</v>
      </c>
      <c r="D113" t="n">
        <v>182.9</v>
      </c>
      <c r="E113" t="n">
        <v>2</v>
      </c>
      <c r="F113" t="n">
        <v>82.93936485450001</v>
      </c>
    </row>
    <row r="114">
      <c r="A114" s="4" t="n">
        <v>45806</v>
      </c>
      <c r="B114" t="n">
        <v>184.9</v>
      </c>
      <c r="C114" t="n">
        <v>184.9</v>
      </c>
      <c r="D114" t="n">
        <v>184.9</v>
      </c>
      <c r="E114" t="n">
        <v>1</v>
      </c>
      <c r="F114" t="n">
        <v>83.86922921300001</v>
      </c>
    </row>
    <row r="115">
      <c r="A115" s="4" t="n">
        <v>45807</v>
      </c>
      <c r="B115" t="n">
        <v>183.9</v>
      </c>
      <c r="C115" t="n">
        <v>183.9</v>
      </c>
      <c r="D115" t="n">
        <v>183.9</v>
      </c>
      <c r="E115" t="n">
        <v>1</v>
      </c>
      <c r="F115" t="n">
        <v>83.415636843</v>
      </c>
    </row>
    <row r="116">
      <c r="A116" s="4" t="n">
        <v>45809</v>
      </c>
      <c r="B116" t="n">
        <v>184.1</v>
      </c>
      <c r="C116" t="n">
        <v>184.1</v>
      </c>
      <c r="D116" t="n">
        <v>184.1</v>
      </c>
      <c r="E116" t="n">
        <v>1</v>
      </c>
      <c r="F116" t="n">
        <v>83.506355317</v>
      </c>
    </row>
    <row r="117">
      <c r="A117" s="4" t="n">
        <v>45811</v>
      </c>
      <c r="B117" t="n">
        <v>184.6</v>
      </c>
      <c r="C117" t="n">
        <v>184.6</v>
      </c>
      <c r="D117" t="n">
        <v>184.6</v>
      </c>
      <c r="E117" t="n">
        <v>1</v>
      </c>
      <c r="F117" t="n">
        <v>83.733151502</v>
      </c>
    </row>
    <row r="118">
      <c r="A118" s="4" t="n">
        <v>45818</v>
      </c>
      <c r="B118" t="n">
        <v>183.4</v>
      </c>
      <c r="C118" t="n">
        <v>183.4</v>
      </c>
      <c r="D118" t="n">
        <v>183.4</v>
      </c>
      <c r="E118" t="n">
        <v>2</v>
      </c>
      <c r="F118" t="n">
        <v>83.188840658</v>
      </c>
    </row>
    <row r="119">
      <c r="A119" s="4" t="n">
        <v>45825</v>
      </c>
      <c r="B119" t="n">
        <v>183.8</v>
      </c>
      <c r="C119" t="n">
        <v>183.8</v>
      </c>
      <c r="D119" t="n">
        <v>183.8</v>
      </c>
      <c r="E119" t="n">
        <v>1</v>
      </c>
      <c r="F119" t="n">
        <v>83.37027760600002</v>
      </c>
    </row>
    <row r="120">
      <c r="A120" s="4" t="n">
        <v>45826</v>
      </c>
      <c r="B120" t="n">
        <v>182.3</v>
      </c>
      <c r="C120" t="n">
        <v>182.3</v>
      </c>
      <c r="D120" t="n">
        <v>182.3</v>
      </c>
      <c r="E120" t="n">
        <v>1</v>
      </c>
      <c r="F120" t="n">
        <v>82.68988905100001</v>
      </c>
    </row>
    <row r="121">
      <c r="A121" s="4" t="n">
        <v>45827</v>
      </c>
      <c r="B121" t="n">
        <v>182.2</v>
      </c>
      <c r="C121" t="n">
        <v>182.2</v>
      </c>
      <c r="D121" t="n">
        <v>182.2</v>
      </c>
      <c r="E121" t="n">
        <v>1</v>
      </c>
      <c r="F121" t="n">
        <v>82.64452981399999</v>
      </c>
    </row>
    <row r="122">
      <c r="A122" s="4" t="n">
        <v>45828</v>
      </c>
      <c r="B122" t="n">
        <v>182.0666666666667</v>
      </c>
      <c r="C122" t="n">
        <v>182</v>
      </c>
      <c r="D122" t="n">
        <v>182.1</v>
      </c>
      <c r="E122" t="n">
        <v>3</v>
      </c>
      <c r="F122" t="n">
        <v>82.58405083133334</v>
      </c>
    </row>
    <row r="123">
      <c r="A123" s="4" t="n">
        <v>45829</v>
      </c>
      <c r="B123" t="n">
        <v>182.6</v>
      </c>
      <c r="C123" t="n">
        <v>182.6</v>
      </c>
      <c r="D123" t="n">
        <v>182.6</v>
      </c>
      <c r="E123" t="n">
        <v>1</v>
      </c>
      <c r="F123" t="n">
        <v>82.82596676200001</v>
      </c>
    </row>
    <row r="124">
      <c r="A124" s="4" t="n">
        <v>45832</v>
      </c>
      <c r="B124" t="n">
        <v>183.4</v>
      </c>
      <c r="C124" t="n">
        <v>183.4</v>
      </c>
      <c r="D124" t="n">
        <v>183.4</v>
      </c>
      <c r="E124" t="n">
        <v>1</v>
      </c>
      <c r="F124" t="n">
        <v>83.188840658</v>
      </c>
    </row>
    <row r="125">
      <c r="A125" s="4" t="n">
        <v>45833</v>
      </c>
      <c r="B125" t="n">
        <v>182.3</v>
      </c>
      <c r="C125" t="n">
        <v>182.3</v>
      </c>
      <c r="D125" t="n">
        <v>182.3</v>
      </c>
      <c r="E125" t="n">
        <v>1</v>
      </c>
      <c r="F125" t="n">
        <v>82.68988905100001</v>
      </c>
    </row>
    <row r="126">
      <c r="A126" s="4" t="n">
        <v>45834</v>
      </c>
      <c r="B126" t="n">
        <v>182.4</v>
      </c>
      <c r="C126" t="n">
        <v>182.4</v>
      </c>
      <c r="D126" t="n">
        <v>182.4</v>
      </c>
      <c r="E126" t="n">
        <v>1</v>
      </c>
      <c r="F126" t="n">
        <v>82.73524828800001</v>
      </c>
    </row>
    <row r="127">
      <c r="A127" s="4" t="n">
        <v>45836</v>
      </c>
      <c r="B127" t="n">
        <v>180.7</v>
      </c>
      <c r="C127" t="n">
        <v>180.7</v>
      </c>
      <c r="D127" t="n">
        <v>180.7</v>
      </c>
      <c r="E127" t="n">
        <v>1</v>
      </c>
      <c r="F127" t="n">
        <v>81.964141259</v>
      </c>
    </row>
    <row r="128">
      <c r="A128" s="4" t="n">
        <v>45841</v>
      </c>
      <c r="B128" t="n">
        <v>182.8</v>
      </c>
      <c r="C128" t="n">
        <v>182.8</v>
      </c>
      <c r="D128" t="n">
        <v>182.8</v>
      </c>
      <c r="E128" t="n">
        <v>1</v>
      </c>
      <c r="F128" t="n">
        <v>82.91668523600001</v>
      </c>
    </row>
    <row r="129">
      <c r="A129" s="4" t="n">
        <v>45844</v>
      </c>
      <c r="B129" t="n">
        <v>182.4</v>
      </c>
      <c r="C129" t="n">
        <v>182.4</v>
      </c>
      <c r="D129" t="n">
        <v>182.4</v>
      </c>
      <c r="E129" t="n">
        <v>1</v>
      </c>
      <c r="F129" t="n">
        <v>82.73524828800001</v>
      </c>
    </row>
    <row r="130">
      <c r="A130" s="4" t="n">
        <v>45845</v>
      </c>
      <c r="B130" t="n">
        <v>183.2</v>
      </c>
      <c r="C130" t="n">
        <v>183.2</v>
      </c>
      <c r="D130" t="n">
        <v>183.2</v>
      </c>
      <c r="E130" t="n">
        <v>1</v>
      </c>
      <c r="F130" t="n">
        <v>83.098122184</v>
      </c>
    </row>
    <row r="131">
      <c r="A131" s="4" t="n">
        <v>45846</v>
      </c>
      <c r="B131" t="n">
        <v>182.8</v>
      </c>
      <c r="C131" t="n">
        <v>182.8</v>
      </c>
      <c r="D131" t="n">
        <v>182.8</v>
      </c>
      <c r="E131" t="n">
        <v>1</v>
      </c>
      <c r="F131" t="n">
        <v>82.91668523600001</v>
      </c>
    </row>
    <row r="132">
      <c r="A132" s="4" t="n">
        <v>45847</v>
      </c>
      <c r="B132" t="n">
        <v>181.4</v>
      </c>
      <c r="C132" t="n">
        <v>181.1</v>
      </c>
      <c r="D132" t="n">
        <v>181.7</v>
      </c>
      <c r="E132" t="n">
        <v>2</v>
      </c>
      <c r="F132" t="n">
        <v>82.281655918</v>
      </c>
    </row>
    <row r="133">
      <c r="A133" s="4" t="n">
        <v>45848</v>
      </c>
      <c r="B133" t="n">
        <v>180.6</v>
      </c>
      <c r="C133" t="n">
        <v>180.6</v>
      </c>
      <c r="D133" t="n">
        <v>180.6</v>
      </c>
      <c r="E133" t="n">
        <v>1</v>
      </c>
      <c r="F133" t="n">
        <v>81.918782022</v>
      </c>
    </row>
    <row r="134">
      <c r="A134" s="4" t="n">
        <v>45849</v>
      </c>
      <c r="B134" t="n">
        <v>180.9</v>
      </c>
      <c r="C134" t="n">
        <v>180.9</v>
      </c>
      <c r="D134" t="n">
        <v>180.9</v>
      </c>
      <c r="E134" t="n">
        <v>1</v>
      </c>
      <c r="F134" t="n">
        <v>82.054859733</v>
      </c>
    </row>
    <row r="135">
      <c r="A135" s="4" t="n">
        <v>45851</v>
      </c>
      <c r="B135" t="n">
        <v>181.8</v>
      </c>
      <c r="C135" t="n">
        <v>181.8</v>
      </c>
      <c r="D135" t="n">
        <v>181.8</v>
      </c>
      <c r="E135" t="n">
        <v>1</v>
      </c>
      <c r="F135" t="n">
        <v>82.46309286600001</v>
      </c>
    </row>
    <row r="136">
      <c r="A136" s="4" t="n">
        <v>45853</v>
      </c>
      <c r="B136" t="n">
        <v>180.1</v>
      </c>
      <c r="C136" t="n">
        <v>180.1</v>
      </c>
      <c r="D136" t="n">
        <v>180.1</v>
      </c>
      <c r="E136" t="n">
        <v>1</v>
      </c>
      <c r="F136" t="n">
        <v>81.691985837</v>
      </c>
    </row>
    <row r="137">
      <c r="A137" s="4" t="n">
        <v>45854</v>
      </c>
      <c r="B137" t="n">
        <v>179.8</v>
      </c>
      <c r="C137" t="n">
        <v>179.8</v>
      </c>
      <c r="D137" t="n">
        <v>179.8</v>
      </c>
      <c r="E137" t="n">
        <v>1</v>
      </c>
      <c r="F137" t="n">
        <v>81.55590812600001</v>
      </c>
    </row>
    <row r="138">
      <c r="A138" s="4" t="n">
        <v>45857</v>
      </c>
      <c r="B138" t="n">
        <v>177.4</v>
      </c>
      <c r="C138" t="n">
        <v>177.4</v>
      </c>
      <c r="D138" t="n">
        <v>177.4</v>
      </c>
      <c r="E138" t="n">
        <v>1</v>
      </c>
      <c r="F138" t="n">
        <v>80.467286438</v>
      </c>
    </row>
    <row r="139">
      <c r="A139" s="4" t="n">
        <v>45858</v>
      </c>
      <c r="B139" t="n">
        <v>177.4</v>
      </c>
      <c r="C139" t="n">
        <v>177</v>
      </c>
      <c r="D139" t="n">
        <v>177.8</v>
      </c>
      <c r="E139" t="n">
        <v>2</v>
      </c>
      <c r="F139" t="n">
        <v>80.467286438</v>
      </c>
    </row>
    <row r="140">
      <c r="A140" s="4" t="n">
        <v>45859</v>
      </c>
      <c r="B140" t="n">
        <v>180.5666666666667</v>
      </c>
      <c r="C140" t="n">
        <v>177.4</v>
      </c>
      <c r="D140" t="n">
        <v>182.2</v>
      </c>
      <c r="E140" t="n">
        <v>3</v>
      </c>
      <c r="F140" t="n">
        <v>81.90366227633335</v>
      </c>
    </row>
    <row r="141">
      <c r="A141" s="4" t="n">
        <v>45861</v>
      </c>
      <c r="B141" t="n">
        <v>178.6</v>
      </c>
      <c r="C141" t="n">
        <v>178.6</v>
      </c>
      <c r="D141" t="n">
        <v>178.6</v>
      </c>
      <c r="E141" t="n">
        <v>1</v>
      </c>
      <c r="F141" t="n">
        <v>81.011597282</v>
      </c>
    </row>
    <row r="142">
      <c r="A142" s="4" t="n">
        <v>45862</v>
      </c>
      <c r="B142" t="n">
        <v>177</v>
      </c>
      <c r="C142" t="n">
        <v>177</v>
      </c>
      <c r="D142" t="n">
        <v>177</v>
      </c>
      <c r="E142" t="n">
        <v>1</v>
      </c>
      <c r="F142" t="n">
        <v>80.28584949</v>
      </c>
    </row>
    <row r="143">
      <c r="A143" s="4" t="n">
        <v>45863</v>
      </c>
      <c r="B143" t="n">
        <v>177.4333333333333</v>
      </c>
      <c r="C143" t="n">
        <v>177.3</v>
      </c>
      <c r="D143" t="n">
        <v>177.6</v>
      </c>
      <c r="E143" t="n">
        <v>3</v>
      </c>
      <c r="F143" t="n">
        <v>80.48240618366665</v>
      </c>
    </row>
    <row r="144">
      <c r="A144" s="4" t="n">
        <v>45864</v>
      </c>
      <c r="B144" t="n">
        <v>177.4</v>
      </c>
      <c r="C144" t="n">
        <v>177.4</v>
      </c>
      <c r="D144" t="n">
        <v>177.4</v>
      </c>
      <c r="E144" t="n">
        <v>1</v>
      </c>
      <c r="F144" t="n">
        <v>80.467286438</v>
      </c>
    </row>
    <row r="145">
      <c r="A145" s="4" t="n">
        <v>45865</v>
      </c>
      <c r="B145" t="n">
        <v>177.1</v>
      </c>
      <c r="C145" t="n">
        <v>176.8</v>
      </c>
      <c r="D145" t="n">
        <v>177.7</v>
      </c>
      <c r="E145" t="n">
        <v>3</v>
      </c>
      <c r="F145" t="n">
        <v>80.331208727</v>
      </c>
    </row>
    <row r="146">
      <c r="A146" s="4" t="n">
        <v>45866</v>
      </c>
      <c r="B146" t="n">
        <v>176.65</v>
      </c>
      <c r="C146" t="n">
        <v>176.6</v>
      </c>
      <c r="D146" t="n">
        <v>176.7</v>
      </c>
      <c r="E146" t="n">
        <v>2</v>
      </c>
      <c r="F146" t="n">
        <v>80.1270921605</v>
      </c>
    </row>
    <row r="147">
      <c r="A147" s="4" t="n">
        <v>45867</v>
      </c>
      <c r="B147" t="n">
        <v>176.5</v>
      </c>
      <c r="C147" t="n">
        <v>176.4</v>
      </c>
      <c r="D147" t="n">
        <v>176.6</v>
      </c>
      <c r="E147" t="n">
        <v>2</v>
      </c>
      <c r="F147" t="n">
        <v>80.05905330500001</v>
      </c>
    </row>
    <row r="148">
      <c r="A148" s="4" t="n">
        <v>45868</v>
      </c>
      <c r="B148" t="n">
        <v>177</v>
      </c>
      <c r="C148" t="n">
        <v>177</v>
      </c>
      <c r="D148" t="n">
        <v>177</v>
      </c>
      <c r="E148" t="n">
        <v>1</v>
      </c>
      <c r="F148" t="n">
        <v>80.28584949</v>
      </c>
    </row>
    <row r="149">
      <c r="A149" s="4" t="n">
        <v>45869</v>
      </c>
      <c r="B149" t="n">
        <v>176.8</v>
      </c>
      <c r="C149" t="n">
        <v>176.8</v>
      </c>
      <c r="D149" t="n">
        <v>176.8</v>
      </c>
      <c r="E149" t="n">
        <v>1</v>
      </c>
      <c r="F149" t="n">
        <v>80.195131016</v>
      </c>
    </row>
    <row r="150">
      <c r="A150" s="4" t="n">
        <v>45871</v>
      </c>
      <c r="B150" t="n">
        <v>176.7</v>
      </c>
      <c r="C150" t="n">
        <v>176.7</v>
      </c>
      <c r="D150" t="n">
        <v>176.7</v>
      </c>
      <c r="E150" t="n">
        <v>1</v>
      </c>
      <c r="F150" t="n">
        <v>80.14977177900001</v>
      </c>
    </row>
    <row r="151">
      <c r="A151" s="4" t="n">
        <v>45878</v>
      </c>
      <c r="B151" t="n">
        <v>176.5</v>
      </c>
      <c r="C151" t="n">
        <v>176.5</v>
      </c>
      <c r="D151" t="n">
        <v>176.5</v>
      </c>
      <c r="E151" t="n">
        <v>1</v>
      </c>
      <c r="F151" t="n">
        <v>80.05905330500001</v>
      </c>
    </row>
    <row r="152">
      <c r="A152" s="4" t="n">
        <v>45879</v>
      </c>
      <c r="B152" t="n">
        <v>175.7</v>
      </c>
      <c r="C152" t="n">
        <v>175.7</v>
      </c>
      <c r="D152" t="n">
        <v>175.7</v>
      </c>
      <c r="E152" t="n">
        <v>1</v>
      </c>
      <c r="F152" t="n">
        <v>79.696179409</v>
      </c>
    </row>
    <row r="153">
      <c r="A153" s="4" t="n">
        <v>45881</v>
      </c>
      <c r="B153" t="n">
        <v>175.8</v>
      </c>
      <c r="C153" t="n">
        <v>175.8</v>
      </c>
      <c r="D153" t="n">
        <v>175.8</v>
      </c>
      <c r="E153" t="n">
        <v>1</v>
      </c>
      <c r="F153" t="n">
        <v>79.74153864600001</v>
      </c>
    </row>
    <row r="154">
      <c r="A154" s="4" t="n">
        <v>45882</v>
      </c>
      <c r="B154" t="n">
        <v>176.05</v>
      </c>
      <c r="C154" t="n">
        <v>175.9</v>
      </c>
      <c r="D154" t="n">
        <v>176.2</v>
      </c>
      <c r="E154" t="n">
        <v>2</v>
      </c>
      <c r="F154" t="n">
        <v>79.85493673850002</v>
      </c>
    </row>
    <row r="155">
      <c r="A155" s="4" t="n">
        <v>45884</v>
      </c>
      <c r="B155" t="n">
        <v>176.8</v>
      </c>
      <c r="C155" t="n">
        <v>176.8</v>
      </c>
      <c r="D155" t="n">
        <v>176.8</v>
      </c>
      <c r="E155" t="n">
        <v>1</v>
      </c>
      <c r="F155" t="n">
        <v>80.195131016</v>
      </c>
    </row>
    <row r="156">
      <c r="A156" s="4" t="n">
        <v>45887</v>
      </c>
      <c r="B156" t="n">
        <v>176.45</v>
      </c>
      <c r="C156" t="n">
        <v>176.4</v>
      </c>
      <c r="D156" t="n">
        <v>176.5</v>
      </c>
      <c r="E156" t="n">
        <v>2</v>
      </c>
      <c r="F156" t="n">
        <v>80.0363736865</v>
      </c>
    </row>
    <row r="157">
      <c r="A157" s="4" t="n">
        <v>45888</v>
      </c>
      <c r="B157" t="n">
        <v>175.3</v>
      </c>
      <c r="C157" t="n">
        <v>175.3</v>
      </c>
      <c r="D157" t="n">
        <v>175.3</v>
      </c>
      <c r="E157" t="n">
        <v>2</v>
      </c>
      <c r="F157" t="n">
        <v>79.51474246100001</v>
      </c>
    </row>
    <row r="158">
      <c r="A158" s="4" t="n">
        <v>45889</v>
      </c>
      <c r="B158" t="n">
        <v>173.3833333333333</v>
      </c>
      <c r="C158" t="n">
        <v>171.8</v>
      </c>
      <c r="D158" t="n">
        <v>174</v>
      </c>
      <c r="E158" t="n">
        <v>6</v>
      </c>
      <c r="F158" t="n">
        <v>78.64535708516667</v>
      </c>
    </row>
    <row r="159">
      <c r="A159" s="4" t="n">
        <v>45891</v>
      </c>
      <c r="B159" t="n">
        <v>175.2</v>
      </c>
      <c r="C159" t="n">
        <v>175.2</v>
      </c>
      <c r="D159" t="n">
        <v>175.2</v>
      </c>
      <c r="E159" t="n">
        <v>1</v>
      </c>
      <c r="F159" t="n">
        <v>79.469383224</v>
      </c>
    </row>
    <row r="160">
      <c r="A160" s="4" t="n">
        <v>45893</v>
      </c>
      <c r="B160" t="n">
        <v>175.2</v>
      </c>
      <c r="C160" t="n">
        <v>175.2</v>
      </c>
      <c r="D160" t="n">
        <v>175.2</v>
      </c>
      <c r="E160" t="n">
        <v>1</v>
      </c>
      <c r="F160" t="n">
        <v>79.469383224</v>
      </c>
    </row>
    <row r="161">
      <c r="A161" s="4" t="n">
        <v>45894</v>
      </c>
      <c r="B161" t="n">
        <v>174.5</v>
      </c>
      <c r="C161" t="n">
        <v>174.5</v>
      </c>
      <c r="D161" t="n">
        <v>174.5</v>
      </c>
      <c r="E161" t="n">
        <v>1</v>
      </c>
      <c r="F161" t="n">
        <v>79.151868565</v>
      </c>
    </row>
    <row r="162">
      <c r="A162" s="4" t="n">
        <v>45895</v>
      </c>
      <c r="B162" t="n">
        <v>158.15</v>
      </c>
      <c r="C162" t="n">
        <v>142.1</v>
      </c>
      <c r="D162" t="n">
        <v>174.2</v>
      </c>
      <c r="E162" t="n">
        <v>2</v>
      </c>
      <c r="F162" t="n">
        <v>71.7356333155</v>
      </c>
    </row>
    <row r="163">
      <c r="A163" s="4" t="n">
        <v>45896</v>
      </c>
      <c r="B163" t="n">
        <v>174</v>
      </c>
      <c r="C163" t="n">
        <v>174</v>
      </c>
      <c r="D163" t="n">
        <v>174</v>
      </c>
      <c r="E163" t="n">
        <v>1</v>
      </c>
      <c r="F163" t="n">
        <v>78.92507238</v>
      </c>
    </row>
    <row r="164">
      <c r="A164" s="4" t="n">
        <v>45897</v>
      </c>
      <c r="B164" t="n">
        <v>173.9</v>
      </c>
      <c r="C164" t="n">
        <v>173.9</v>
      </c>
      <c r="D164" t="n">
        <v>173.9</v>
      </c>
      <c r="E164" t="n">
        <v>1</v>
      </c>
      <c r="F164" t="n">
        <v>78.879713143</v>
      </c>
    </row>
    <row r="165">
      <c r="A165" s="4" t="n">
        <v>45898</v>
      </c>
      <c r="B165" t="n">
        <v>173.3</v>
      </c>
      <c r="C165" t="n">
        <v>173.3</v>
      </c>
      <c r="D165" t="n">
        <v>173.3</v>
      </c>
      <c r="E165" t="n">
        <v>1</v>
      </c>
      <c r="F165" t="n">
        <v>78.60755772100001</v>
      </c>
    </row>
    <row r="166">
      <c r="A166" s="4" t="n">
        <v>45899</v>
      </c>
      <c r="B166" t="n">
        <v>173</v>
      </c>
      <c r="C166" t="n">
        <v>173</v>
      </c>
      <c r="D166" t="n">
        <v>173</v>
      </c>
      <c r="E166" t="n">
        <v>1</v>
      </c>
      <c r="F166" t="n">
        <v>78.47148001000001</v>
      </c>
    </row>
    <row r="167">
      <c r="A167" s="4" t="n">
        <v>45900</v>
      </c>
      <c r="B167" t="n">
        <v>173.8</v>
      </c>
      <c r="C167" t="n">
        <v>173.8</v>
      </c>
      <c r="D167" t="n">
        <v>173.8</v>
      </c>
      <c r="E167" t="n">
        <v>1</v>
      </c>
      <c r="F167" t="n">
        <v>78.834353906</v>
      </c>
    </row>
    <row r="168">
      <c r="A168" s="4" t="n">
        <v>45901</v>
      </c>
      <c r="B168" t="n">
        <v>173.3</v>
      </c>
      <c r="C168" t="n">
        <v>173.3</v>
      </c>
      <c r="D168" t="n">
        <v>173.3</v>
      </c>
      <c r="E168" t="n">
        <v>1</v>
      </c>
      <c r="F168" t="n">
        <v>78.60755772100001</v>
      </c>
    </row>
    <row r="169">
      <c r="A169" s="4" t="n">
        <v>45903</v>
      </c>
      <c r="B169" t="n">
        <v>173</v>
      </c>
      <c r="C169" t="n">
        <v>173</v>
      </c>
      <c r="D169" t="n">
        <v>173</v>
      </c>
      <c r="E169" t="n">
        <v>1</v>
      </c>
      <c r="F169" t="n">
        <v>78.47148001000001</v>
      </c>
    </row>
    <row r="170">
      <c r="A170" s="4" t="n">
        <v>45904</v>
      </c>
      <c r="B170" t="n">
        <v>172.6</v>
      </c>
      <c r="C170" t="n">
        <v>172.6</v>
      </c>
      <c r="D170" t="n">
        <v>172.6</v>
      </c>
      <c r="E170" t="n">
        <v>1</v>
      </c>
      <c r="F170" t="n">
        <v>78.290043062</v>
      </c>
    </row>
    <row r="171">
      <c r="A171" s="4" t="n">
        <v>45905</v>
      </c>
      <c r="B171" t="n">
        <v>172.3</v>
      </c>
      <c r="C171" t="n">
        <v>172.3</v>
      </c>
      <c r="D171" t="n">
        <v>172.3</v>
      </c>
      <c r="E171" t="n">
        <v>1</v>
      </c>
      <c r="F171" t="n">
        <v>78.15396535100001</v>
      </c>
    </row>
    <row r="172">
      <c r="A172" s="4" t="n">
        <v>45906</v>
      </c>
      <c r="B172" t="n">
        <v>172.5</v>
      </c>
      <c r="C172" t="n">
        <v>172.5</v>
      </c>
      <c r="D172" t="n">
        <v>172.5</v>
      </c>
      <c r="E172" t="n">
        <v>1</v>
      </c>
      <c r="F172" t="n">
        <v>78.24468382500001</v>
      </c>
    </row>
    <row r="173">
      <c r="A173" s="4" t="n">
        <v>45907</v>
      </c>
      <c r="B173" t="n">
        <v>174</v>
      </c>
      <c r="C173" t="n">
        <v>174</v>
      </c>
      <c r="D173" t="n">
        <v>174</v>
      </c>
      <c r="E173" t="n">
        <v>1</v>
      </c>
      <c r="F173" t="n">
        <v>78.92507238</v>
      </c>
    </row>
    <row r="174">
      <c r="A174" s="4" t="n">
        <v>45909</v>
      </c>
      <c r="B174" t="n">
        <v>171.8</v>
      </c>
      <c r="C174" t="n">
        <v>171.6</v>
      </c>
      <c r="D174" t="n">
        <v>172.2</v>
      </c>
      <c r="E174" t="n">
        <v>3</v>
      </c>
      <c r="F174" t="n">
        <v>77.927169166</v>
      </c>
    </row>
    <row r="175">
      <c r="A175" s="4" t="n">
        <v>45910</v>
      </c>
      <c r="B175" t="n">
        <v>170.5</v>
      </c>
      <c r="C175" t="n">
        <v>170.5</v>
      </c>
      <c r="D175" t="n">
        <v>170.5</v>
      </c>
      <c r="E175" t="n">
        <v>2</v>
      </c>
      <c r="F175" t="n">
        <v>77.337499085</v>
      </c>
    </row>
    <row r="176">
      <c r="A176" s="4" t="n">
        <v>45916</v>
      </c>
      <c r="B176" t="n">
        <v>171.4</v>
      </c>
      <c r="C176" t="n">
        <v>171.4</v>
      </c>
      <c r="D176" t="n">
        <v>171.4</v>
      </c>
      <c r="E176" t="n">
        <v>2</v>
      </c>
      <c r="F176" t="n">
        <v>77.745732218</v>
      </c>
    </row>
    <row r="177">
      <c r="A177" s="4" t="n">
        <v>45917</v>
      </c>
      <c r="B177" t="n">
        <v>170.3</v>
      </c>
      <c r="C177" t="n">
        <v>170.3</v>
      </c>
      <c r="D177" t="n">
        <v>170.3</v>
      </c>
      <c r="E177" t="n">
        <v>2</v>
      </c>
      <c r="F177" t="n">
        <v>77.24678061100001</v>
      </c>
    </row>
    <row r="178">
      <c r="A178" s="4" t="n">
        <v>45918</v>
      </c>
      <c r="B178" t="n">
        <v>171.4</v>
      </c>
      <c r="C178" t="n">
        <v>171.4</v>
      </c>
      <c r="D178" t="n">
        <v>171.4</v>
      </c>
      <c r="E178" t="n">
        <v>1</v>
      </c>
      <c r="F178" t="n">
        <v>77.745732218</v>
      </c>
    </row>
    <row r="179">
      <c r="A179" s="4" t="n">
        <v>45919</v>
      </c>
      <c r="B179" t="n">
        <v>171.6</v>
      </c>
      <c r="C179" t="n">
        <v>171.6</v>
      </c>
      <c r="D179" t="n">
        <v>171.6</v>
      </c>
      <c r="E179" t="n">
        <v>1</v>
      </c>
      <c r="F179" t="n">
        <v>77.836450692</v>
      </c>
    </row>
    <row r="180">
      <c r="A180" s="4" t="n">
        <v>45921</v>
      </c>
      <c r="B180" t="n">
        <v>173.1</v>
      </c>
      <c r="C180" t="n">
        <v>173.1</v>
      </c>
      <c r="D180" t="n">
        <v>173.1</v>
      </c>
      <c r="E180" t="n">
        <v>1</v>
      </c>
      <c r="F180" t="n">
        <v>78.51683924700001</v>
      </c>
    </row>
    <row r="181">
      <c r="A181" s="4" t="n">
        <v>45922</v>
      </c>
      <c r="B181" t="n">
        <v>173.4</v>
      </c>
      <c r="C181" t="n">
        <v>173.4</v>
      </c>
      <c r="D181" t="n">
        <v>173.4</v>
      </c>
      <c r="E181" t="n">
        <v>1</v>
      </c>
      <c r="F181" t="n">
        <v>78.65291695800001</v>
      </c>
    </row>
    <row r="182">
      <c r="A182" s="4" t="n">
        <v>45923</v>
      </c>
      <c r="B182" t="n">
        <v>171.8</v>
      </c>
      <c r="C182" t="n">
        <v>171.8</v>
      </c>
      <c r="D182" t="n">
        <v>171.8</v>
      </c>
      <c r="E182" t="n">
        <v>1</v>
      </c>
      <c r="F182" t="n">
        <v>77.92716916600001</v>
      </c>
    </row>
    <row r="183">
      <c r="A183" s="4" t="n">
        <v>45924</v>
      </c>
      <c r="B183" t="n">
        <v>170.6</v>
      </c>
      <c r="C183" t="n">
        <v>170.2</v>
      </c>
      <c r="D183" t="n">
        <v>171</v>
      </c>
      <c r="E183" t="n">
        <v>2</v>
      </c>
      <c r="F183" t="n">
        <v>77.382858322</v>
      </c>
    </row>
    <row r="184">
      <c r="A184" s="4" t="n">
        <v>45926</v>
      </c>
      <c r="B184" t="n">
        <v>170.15</v>
      </c>
      <c r="C184" t="n">
        <v>169.4</v>
      </c>
      <c r="D184" t="n">
        <v>170.9</v>
      </c>
      <c r="E184" t="n">
        <v>2</v>
      </c>
      <c r="F184" t="n">
        <v>77.17874175550001</v>
      </c>
    </row>
    <row r="185">
      <c r="A185" s="4" t="n">
        <v>45927</v>
      </c>
      <c r="B185" t="n">
        <v>171.1</v>
      </c>
      <c r="C185" t="n">
        <v>171.1</v>
      </c>
      <c r="D185" t="n">
        <v>171.1</v>
      </c>
      <c r="E185" t="n">
        <v>1</v>
      </c>
      <c r="F185" t="n">
        <v>77.609654507</v>
      </c>
    </row>
    <row r="186">
      <c r="A186" s="4" t="n">
        <v>45930</v>
      </c>
      <c r="B186" t="n">
        <v>170.8</v>
      </c>
      <c r="C186" t="n">
        <v>170.8</v>
      </c>
      <c r="D186" t="n">
        <v>170.8</v>
      </c>
      <c r="E186" t="n">
        <v>1</v>
      </c>
      <c r="F186" t="n">
        <v>77.473576796</v>
      </c>
    </row>
    <row r="187">
      <c r="A187" s="4" t="n">
        <v>45931</v>
      </c>
      <c r="B187" t="n">
        <v>169.35</v>
      </c>
      <c r="C187" t="n">
        <v>169.2</v>
      </c>
      <c r="D187" t="n">
        <v>169.5</v>
      </c>
      <c r="E187" t="n">
        <v>2</v>
      </c>
      <c r="F187" t="n">
        <v>76.8158678595</v>
      </c>
    </row>
    <row r="188">
      <c r="A188" s="4" t="n">
        <v>45932</v>
      </c>
      <c r="B188" t="n">
        <v>169.1</v>
      </c>
      <c r="C188" t="n">
        <v>169.1</v>
      </c>
      <c r="D188" t="n">
        <v>169.1</v>
      </c>
      <c r="E188" t="n">
        <v>1</v>
      </c>
      <c r="F188" t="n">
        <v>76.702469767</v>
      </c>
    </row>
    <row r="189">
      <c r="A189" s="4" t="n">
        <v>45933</v>
      </c>
      <c r="B189" t="n">
        <v>170.2</v>
      </c>
      <c r="C189" t="n">
        <v>170.2</v>
      </c>
      <c r="D189" t="n">
        <v>170.2</v>
      </c>
      <c r="E189" t="n">
        <v>1</v>
      </c>
      <c r="F189" t="n">
        <v>77.20142137399999</v>
      </c>
    </row>
    <row r="190">
      <c r="A190" s="4" t="n">
        <v>45935</v>
      </c>
      <c r="B190" t="n">
        <v>171.3</v>
      </c>
      <c r="C190" t="n">
        <v>171.3</v>
      </c>
      <c r="D190" t="n">
        <v>171.3</v>
      </c>
      <c r="E190" t="n">
        <v>1</v>
      </c>
      <c r="F190" t="n">
        <v>77.70037298100002</v>
      </c>
    </row>
    <row r="191">
      <c r="A191" s="4" t="n">
        <v>45936</v>
      </c>
      <c r="B191" t="n">
        <v>171.8</v>
      </c>
      <c r="C191" t="n">
        <v>171.8</v>
      </c>
      <c r="D191" t="n">
        <v>171.8</v>
      </c>
      <c r="E191" t="n">
        <v>1</v>
      </c>
      <c r="F191" t="n">
        <v>77.92716916600001</v>
      </c>
    </row>
    <row r="192">
      <c r="A192" s="4" t="n">
        <v>45937</v>
      </c>
      <c r="B192" t="n">
        <v>170.3</v>
      </c>
      <c r="C192" t="n">
        <v>170.3</v>
      </c>
      <c r="D192" t="n">
        <v>170.3</v>
      </c>
      <c r="E192" t="n">
        <v>1</v>
      </c>
      <c r="F192" t="n">
        <v>77.24678061100001</v>
      </c>
    </row>
    <row r="193">
      <c r="A193" s="4" t="n">
        <v>45938</v>
      </c>
      <c r="B193" t="n">
        <v>168.7333333333333</v>
      </c>
      <c r="C193" t="n">
        <v>168.4</v>
      </c>
      <c r="D193" t="n">
        <v>169.4</v>
      </c>
      <c r="E193" t="n">
        <v>3</v>
      </c>
      <c r="F193" t="n">
        <v>76.53615256466668</v>
      </c>
    </row>
    <row r="194">
      <c r="A194" s="4" t="n">
        <v>45943</v>
      </c>
      <c r="B194" t="n">
        <v>170.5</v>
      </c>
      <c r="C194" t="n">
        <v>170.5</v>
      </c>
      <c r="D194" t="n">
        <v>170.5</v>
      </c>
      <c r="E194" t="n">
        <v>1</v>
      </c>
      <c r="F194" t="n">
        <v>77.337499085</v>
      </c>
    </row>
    <row r="195">
      <c r="A195" s="4" t="n">
        <v>45944</v>
      </c>
      <c r="B195" t="n">
        <v>170</v>
      </c>
      <c r="C195" t="n">
        <v>170</v>
      </c>
      <c r="D195" t="n">
        <v>170</v>
      </c>
      <c r="E195" t="n">
        <v>1</v>
      </c>
      <c r="F195" t="n">
        <v>77.11070290000001</v>
      </c>
    </row>
    <row r="196">
      <c r="A196" s="4" t="n">
        <v>45945</v>
      </c>
      <c r="B196" t="n">
        <v>168.5</v>
      </c>
      <c r="C196" t="n">
        <v>168.5</v>
      </c>
      <c r="D196" t="n">
        <v>168.5</v>
      </c>
      <c r="E196" t="n">
        <v>1</v>
      </c>
      <c r="F196" t="n">
        <v>76.430314345</v>
      </c>
    </row>
    <row r="197">
      <c r="A197" s="4" t="n">
        <v>45946</v>
      </c>
      <c r="B197" t="n">
        <v>169</v>
      </c>
      <c r="C197" t="n">
        <v>169</v>
      </c>
      <c r="D197" t="n">
        <v>169</v>
      </c>
      <c r="E197" t="n">
        <v>1</v>
      </c>
      <c r="F197" t="n">
        <v>76.65711053</v>
      </c>
    </row>
    <row r="198">
      <c r="A198" s="4" t="n">
        <v>45947</v>
      </c>
      <c r="B198" t="n">
        <v>168.6</v>
      </c>
      <c r="C198" t="n">
        <v>168.6</v>
      </c>
      <c r="D198" t="n">
        <v>168.6</v>
      </c>
      <c r="E198" t="n">
        <v>1</v>
      </c>
      <c r="F198" t="n">
        <v>76.475673582</v>
      </c>
    </row>
    <row r="199">
      <c r="A199" s="4" t="n">
        <v>45949</v>
      </c>
      <c r="B199" t="n">
        <v>169.5</v>
      </c>
      <c r="C199" t="n">
        <v>169.5</v>
      </c>
      <c r="D199" t="n">
        <v>169.5</v>
      </c>
      <c r="E199" t="n">
        <v>1</v>
      </c>
      <c r="F199" t="n">
        <v>76.88390671500001</v>
      </c>
    </row>
    <row r="200">
      <c r="A200" s="4" t="n">
        <v>45951</v>
      </c>
      <c r="B200" t="n">
        <v>168.0333333333333</v>
      </c>
      <c r="C200" t="n">
        <v>167.9</v>
      </c>
      <c r="D200" t="n">
        <v>168.2</v>
      </c>
      <c r="E200" t="n">
        <v>3</v>
      </c>
      <c r="F200" t="n">
        <v>76.21863790566667</v>
      </c>
    </row>
    <row r="201">
      <c r="A201" s="4" t="n">
        <v>45954</v>
      </c>
      <c r="B201" t="n">
        <v>168.2</v>
      </c>
      <c r="C201" t="n">
        <v>168</v>
      </c>
      <c r="D201" t="n">
        <v>168.4</v>
      </c>
      <c r="E201" t="n">
        <v>2</v>
      </c>
      <c r="F201" t="n">
        <v>76.294236634</v>
      </c>
    </row>
    <row r="202">
      <c r="A202" s="4" t="n">
        <v>45957</v>
      </c>
      <c r="B202" t="n">
        <v>171</v>
      </c>
      <c r="C202" t="n">
        <v>171</v>
      </c>
      <c r="D202" t="n">
        <v>171</v>
      </c>
      <c r="E202" t="n">
        <v>1</v>
      </c>
      <c r="F202" t="n">
        <v>77.56429527</v>
      </c>
    </row>
    <row r="203">
      <c r="A203" s="4" t="n">
        <v>45959</v>
      </c>
      <c r="B203" t="n">
        <v>169</v>
      </c>
      <c r="C203" t="n">
        <v>169</v>
      </c>
      <c r="D203" t="n">
        <v>169</v>
      </c>
      <c r="E203" t="n">
        <v>1</v>
      </c>
      <c r="F203" t="n">
        <v>76.65711053</v>
      </c>
    </row>
    <row r="204">
      <c r="A204" s="4" t="n">
        <v>45960</v>
      </c>
      <c r="B204" t="n">
        <v>169.4</v>
      </c>
      <c r="C204" t="n">
        <v>169.4</v>
      </c>
      <c r="D204" t="n">
        <v>169.4</v>
      </c>
      <c r="E204" t="n">
        <v>1</v>
      </c>
      <c r="F204" t="n">
        <v>76.83854747800001</v>
      </c>
    </row>
    <row r="205">
      <c r="A205" s="4" t="n">
        <v>45961</v>
      </c>
      <c r="B205" t="n">
        <v>167.2</v>
      </c>
      <c r="C205" t="n">
        <v>167.2</v>
      </c>
      <c r="D205" t="n">
        <v>167.2</v>
      </c>
      <c r="E205" t="n">
        <v>2</v>
      </c>
      <c r="F205" t="n">
        <v>75.84064426400001</v>
      </c>
    </row>
    <row r="206">
      <c r="A206" s="4" t="n">
        <v>45965</v>
      </c>
      <c r="B206" t="n">
        <v>168.8</v>
      </c>
      <c r="C206" t="n">
        <v>168.8</v>
      </c>
      <c r="D206" t="n">
        <v>168.8</v>
      </c>
      <c r="E206" t="n">
        <v>1</v>
      </c>
      <c r="F206" t="n">
        <v>76.56639205600001</v>
      </c>
    </row>
    <row r="207">
      <c r="A207" s="4" t="n">
        <v>45966</v>
      </c>
      <c r="B207" t="n">
        <v>169.6</v>
      </c>
      <c r="C207" t="n">
        <v>169.6</v>
      </c>
      <c r="D207" t="n">
        <v>169.6</v>
      </c>
      <c r="E207" t="n">
        <v>1</v>
      </c>
      <c r="F207" t="n">
        <v>76.92926595199999</v>
      </c>
    </row>
    <row r="208">
      <c r="A208" s="4" t="n">
        <v>45969</v>
      </c>
      <c r="B208" t="n">
        <v>168.4333333333333</v>
      </c>
      <c r="C208" t="n">
        <v>168.4</v>
      </c>
      <c r="D208" t="n">
        <v>168.5</v>
      </c>
      <c r="E208" t="n">
        <v>3</v>
      </c>
      <c r="F208" t="n">
        <v>76.40007485366667</v>
      </c>
    </row>
    <row r="209">
      <c r="A209" s="4" t="n">
        <v>45972</v>
      </c>
      <c r="B209" t="n">
        <v>168.5</v>
      </c>
      <c r="C209" t="n">
        <v>168.5</v>
      </c>
      <c r="D209" t="n">
        <v>168.5</v>
      </c>
      <c r="E209" t="n">
        <v>1</v>
      </c>
      <c r="F209" t="n">
        <v>76.430314345</v>
      </c>
    </row>
    <row r="210">
      <c r="A210" s="4" t="n">
        <v>45973</v>
      </c>
      <c r="B210" t="n">
        <v>168.4</v>
      </c>
      <c r="C210" t="n">
        <v>168.4</v>
      </c>
      <c r="D210" t="n">
        <v>168.4</v>
      </c>
      <c r="E210" t="n">
        <v>1</v>
      </c>
      <c r="F210" t="n">
        <v>76.384955108</v>
      </c>
    </row>
    <row r="211">
      <c r="A211" s="4" t="n">
        <v>45974</v>
      </c>
      <c r="B211" t="n">
        <v>167.6</v>
      </c>
      <c r="C211" t="n">
        <v>166.9</v>
      </c>
      <c r="D211" t="n">
        <v>168.3</v>
      </c>
      <c r="E211" t="n">
        <v>2</v>
      </c>
      <c r="F211" t="n">
        <v>76.02208121200002</v>
      </c>
    </row>
    <row r="212">
      <c r="A212" s="4" t="n">
        <v>45975</v>
      </c>
      <c r="B212" t="n">
        <v>170</v>
      </c>
      <c r="C212" t="n">
        <v>170</v>
      </c>
      <c r="D212" t="n">
        <v>170</v>
      </c>
      <c r="E212" t="n">
        <v>1</v>
      </c>
      <c r="F212" t="n">
        <v>77.11070290000001</v>
      </c>
    </row>
    <row r="213">
      <c r="A213" s="4" t="n">
        <v>45976</v>
      </c>
      <c r="B213" t="n">
        <v>169.2</v>
      </c>
      <c r="C213" t="n">
        <v>169.2</v>
      </c>
      <c r="D213" t="n">
        <v>169.2</v>
      </c>
      <c r="E213" t="n">
        <v>1</v>
      </c>
      <c r="F213" t="n">
        <v>76.747829004</v>
      </c>
    </row>
    <row r="214">
      <c r="A214" s="4" t="n">
        <v>45977</v>
      </c>
      <c r="B214" t="n">
        <v>168</v>
      </c>
      <c r="C214" t="n">
        <v>167</v>
      </c>
      <c r="D214" t="n">
        <v>169</v>
      </c>
      <c r="E214" t="n">
        <v>2</v>
      </c>
      <c r="F214" t="n">
        <v>76.20351816</v>
      </c>
    </row>
    <row r="215">
      <c r="A215" s="4" t="n">
        <v>45978</v>
      </c>
      <c r="B215" t="n">
        <v>169.9</v>
      </c>
      <c r="C215" t="n">
        <v>169.9</v>
      </c>
      <c r="D215" t="n">
        <v>169.9</v>
      </c>
      <c r="E215" t="n">
        <v>1</v>
      </c>
      <c r="F215" t="n">
        <v>77.06534366300001</v>
      </c>
    </row>
    <row r="216">
      <c r="A216" s="4" t="n">
        <v>45979</v>
      </c>
      <c r="B216" t="n">
        <v>167.8</v>
      </c>
      <c r="C216" t="n">
        <v>167.8</v>
      </c>
      <c r="D216" t="n">
        <v>167.8</v>
      </c>
      <c r="E216" t="n">
        <v>1</v>
      </c>
      <c r="F216" t="n">
        <v>76.112799686</v>
      </c>
    </row>
    <row r="217">
      <c r="A217" s="4" t="n">
        <v>45980</v>
      </c>
      <c r="B217" t="n">
        <v>166.1</v>
      </c>
      <c r="C217" t="n">
        <v>166.1</v>
      </c>
      <c r="D217" t="n">
        <v>166.1</v>
      </c>
      <c r="E217" t="n">
        <v>2</v>
      </c>
      <c r="F217" t="n">
        <v>75.341692657</v>
      </c>
    </row>
    <row r="218">
      <c r="A218" s="4" t="n">
        <v>45987</v>
      </c>
      <c r="B218" t="n">
        <v>166.1</v>
      </c>
      <c r="C218" t="n">
        <v>166.1</v>
      </c>
      <c r="D218" t="n">
        <v>166.1</v>
      </c>
      <c r="E218" t="n">
        <v>1</v>
      </c>
      <c r="F218" t="n">
        <v>75.341692657</v>
      </c>
    </row>
    <row r="219">
      <c r="A219" s="4" t="n">
        <v>45992</v>
      </c>
      <c r="B219" t="n">
        <v>169.1</v>
      </c>
      <c r="C219" t="n">
        <v>169.1</v>
      </c>
      <c r="D219" t="n">
        <v>169.1</v>
      </c>
      <c r="E219" t="n">
        <v>1</v>
      </c>
      <c r="F219" t="n">
        <v>76.702469767</v>
      </c>
    </row>
    <row r="220">
      <c r="A220" s="4" t="n">
        <v>45994</v>
      </c>
      <c r="B220" t="n">
        <v>165.725</v>
      </c>
      <c r="C220" t="n">
        <v>165.6</v>
      </c>
      <c r="D220" t="n">
        <v>165.8</v>
      </c>
      <c r="E220" t="n">
        <v>4</v>
      </c>
      <c r="F220" t="n">
        <v>75.17159551825</v>
      </c>
    </row>
    <row r="221">
      <c r="A221" s="4" t="n">
        <v>45995</v>
      </c>
      <c r="B221" t="n">
        <v>166.8</v>
      </c>
      <c r="C221" t="n">
        <v>166.8</v>
      </c>
      <c r="D221" t="n">
        <v>166.8</v>
      </c>
      <c r="E221" t="n">
        <v>1</v>
      </c>
      <c r="F221" t="n">
        <v>75.65920731600001</v>
      </c>
    </row>
    <row r="222">
      <c r="A222" s="4" t="n">
        <v>45996</v>
      </c>
      <c r="B222" t="n">
        <v>165.05</v>
      </c>
      <c r="C222" t="n">
        <v>164.2</v>
      </c>
      <c r="D222" t="n">
        <v>165.9</v>
      </c>
      <c r="E222" t="n">
        <v>2</v>
      </c>
      <c r="F222" t="n">
        <v>74.86542066850001</v>
      </c>
    </row>
    <row r="223">
      <c r="A223" s="4" t="n">
        <v>45998</v>
      </c>
      <c r="B223" t="n">
        <v>167.1</v>
      </c>
      <c r="C223" t="n">
        <v>167.1</v>
      </c>
      <c r="D223" t="n">
        <v>167.1</v>
      </c>
      <c r="E223" t="n">
        <v>1</v>
      </c>
      <c r="F223" t="n">
        <v>75.79528502700001</v>
      </c>
    </row>
    <row r="224">
      <c r="A224" s="4" t="n">
        <v>45999</v>
      </c>
      <c r="B224" t="n">
        <v>164.4</v>
      </c>
      <c r="C224" t="n">
        <v>164.4</v>
      </c>
      <c r="D224" t="n">
        <v>164.4</v>
      </c>
      <c r="E224" t="n">
        <v>2</v>
      </c>
      <c r="F224" t="n">
        <v>74.570585628</v>
      </c>
    </row>
    <row r="225">
      <c r="A225" s="4" t="n">
        <v>46000</v>
      </c>
      <c r="B225" t="n">
        <v>163.7666666666667</v>
      </c>
      <c r="C225" t="n">
        <v>162.9</v>
      </c>
      <c r="D225" t="n">
        <v>165.4</v>
      </c>
      <c r="E225" t="n">
        <v>6</v>
      </c>
      <c r="F225" t="n">
        <v>74.28331046033334</v>
      </c>
    </row>
    <row r="226">
      <c r="A226" s="4" t="n">
        <v>46001</v>
      </c>
      <c r="B226" t="n">
        <v>163.1</v>
      </c>
      <c r="C226" t="n">
        <v>163.1</v>
      </c>
      <c r="D226" t="n">
        <v>163.1</v>
      </c>
      <c r="E226" t="n">
        <v>2</v>
      </c>
      <c r="F226" t="n">
        <v>73.980915547</v>
      </c>
    </row>
    <row r="227">
      <c r="A227" s="4" t="n">
        <v>46002</v>
      </c>
      <c r="B227" t="n">
        <v>162.6333333333333</v>
      </c>
      <c r="C227" t="n">
        <v>162.5</v>
      </c>
      <c r="D227" t="n">
        <v>162.8</v>
      </c>
      <c r="E227" t="n">
        <v>6</v>
      </c>
      <c r="F227" t="n">
        <v>73.76923910766666</v>
      </c>
    </row>
    <row r="228">
      <c r="A228" s="4" t="n">
        <v>46003</v>
      </c>
      <c r="B228" t="n">
        <v>162.4</v>
      </c>
      <c r="C228" t="n">
        <v>162.4</v>
      </c>
      <c r="D228" t="n">
        <v>162.4</v>
      </c>
      <c r="E228" t="n">
        <v>1</v>
      </c>
      <c r="F228" t="n">
        <v>73.66340088800001</v>
      </c>
    </row>
    <row r="229">
      <c r="A229" s="4" t="n">
        <v>46004</v>
      </c>
      <c r="B229" t="n">
        <v>163.05</v>
      </c>
      <c r="C229" t="n">
        <v>163</v>
      </c>
      <c r="D229" t="n">
        <v>163.1</v>
      </c>
      <c r="E229" t="n">
        <v>2</v>
      </c>
      <c r="F229" t="n">
        <v>73.9582359285</v>
      </c>
    </row>
    <row r="230">
      <c r="A230" s="4" t="n">
        <v>46006</v>
      </c>
      <c r="B230" t="n">
        <v>164.5</v>
      </c>
      <c r="C230" t="n">
        <v>164.5</v>
      </c>
      <c r="D230" t="n">
        <v>164.5</v>
      </c>
      <c r="E230" t="n">
        <v>1</v>
      </c>
      <c r="F230" t="n">
        <v>74.615944865</v>
      </c>
    </row>
    <row r="231">
      <c r="A231" s="4" t="n">
        <v>46007</v>
      </c>
      <c r="B231" t="n">
        <v>162.25</v>
      </c>
      <c r="C231" t="n">
        <v>162.2</v>
      </c>
      <c r="D231" t="n">
        <v>162.3</v>
      </c>
      <c r="E231" t="n">
        <v>2</v>
      </c>
      <c r="F231" t="n">
        <v>73.59536203250001</v>
      </c>
    </row>
    <row r="232">
      <c r="A232" s="4" t="n">
        <v>46008</v>
      </c>
      <c r="B232" t="n">
        <v>161.7666666666667</v>
      </c>
      <c r="C232" t="n">
        <v>161.4</v>
      </c>
      <c r="D232" t="n">
        <v>162.5</v>
      </c>
      <c r="E232" t="n">
        <v>3</v>
      </c>
      <c r="F232" t="n">
        <v>73.37612572033335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13" customWidth="1" style="15" min="2" max="2"/>
    <col width="21" customWidth="1" style="15" min="3" max="3"/>
    <col width="10" customWidth="1" style="15" min="4" max="5"/>
  </cols>
  <sheetData>
    <row r="1">
      <c r="A1" t="inlineStr">
        <is>
          <t>Remedy</t>
        </is>
      </c>
      <c r="B1" t="inlineStr">
        <is>
          <t>Snore Score</t>
        </is>
      </c>
      <c r="C1" t="inlineStr">
        <is>
          <t>Snoring Percentage</t>
        </is>
      </c>
      <c r="D1" t="inlineStr">
        <is>
          <t>Volume</t>
        </is>
      </c>
      <c r="E1" t="inlineStr">
        <is>
          <t>Count</t>
        </is>
      </c>
    </row>
    <row r="2">
      <c r="A2" t="inlineStr">
        <is>
          <t>SnoreRx</t>
        </is>
      </c>
      <c r="B2" t="n">
        <v>115.76</v>
      </c>
      <c r="C2" t="inlineStr">
        <is>
          <t>78.47%</t>
        </is>
      </c>
      <c r="D2" t="n">
        <v>1.48</v>
      </c>
      <c r="E2" t="n">
        <v>1</v>
      </c>
    </row>
    <row r="3">
      <c r="A3" t="inlineStr">
        <is>
          <t>None</t>
        </is>
      </c>
      <c r="B3" t="n">
        <v>58.2</v>
      </c>
      <c r="C3" t="inlineStr">
        <is>
          <t>51.58%</t>
        </is>
      </c>
      <c r="D3" t="n">
        <v>1.18</v>
      </c>
      <c r="E3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13" customWidth="1" style="15" min="2" max="2"/>
    <col width="21" customWidth="1" style="15" min="3" max="3"/>
    <col width="10" customWidth="1" style="15" min="4" max="5"/>
  </cols>
  <sheetData>
    <row r="1">
      <c r="A1" t="inlineStr">
        <is>
          <t>Factor</t>
        </is>
      </c>
      <c r="B1" t="inlineStr">
        <is>
          <t>Snore Score</t>
        </is>
      </c>
      <c r="C1" t="inlineStr">
        <is>
          <t>Snoring Percentage</t>
        </is>
      </c>
      <c r="D1" t="inlineStr">
        <is>
          <t>Volume</t>
        </is>
      </c>
      <c r="E1" t="inlineStr">
        <is>
          <t>Count</t>
        </is>
      </c>
    </row>
    <row r="2">
      <c r="A2" t="inlineStr">
        <is>
          <t>None</t>
        </is>
      </c>
      <c r="B2" t="n">
        <v>97.09999999999999</v>
      </c>
      <c r="C2" t="inlineStr">
        <is>
          <t>74.87%</t>
        </is>
      </c>
      <c r="D2" t="n">
        <v>1.29</v>
      </c>
      <c r="E2" t="n">
        <v>2</v>
      </c>
    </row>
    <row r="3">
      <c r="A3" t="inlineStr">
        <is>
          <t>Shower</t>
        </is>
      </c>
      <c r="B3" t="n">
        <v>56.36</v>
      </c>
      <c r="C3" t="inlineStr">
        <is>
          <t>49.79%</t>
        </is>
      </c>
      <c r="D3" t="n">
        <v>1.19</v>
      </c>
      <c r="E3" t="n">
        <v>11</v>
      </c>
    </row>
    <row r="4">
      <c r="A4" t="inlineStr">
        <is>
          <t>Worked out</t>
        </is>
      </c>
      <c r="B4" t="n">
        <v>14.49</v>
      </c>
      <c r="C4" t="inlineStr">
        <is>
          <t>8.50%</t>
        </is>
      </c>
      <c r="D4" t="n">
        <v>1.7</v>
      </c>
      <c r="E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18" customWidth="1" style="15" min="2" max="2"/>
    <col width="13" customWidth="1" style="15" min="3" max="3"/>
    <col width="22" customWidth="1" style="15" min="4" max="4"/>
    <col width="10" customWidth="1" style="15" min="5" max="6"/>
  </cols>
  <sheetData>
    <row r="1">
      <c r="A1" t="inlineStr">
        <is>
          <t>Remedies</t>
        </is>
      </c>
      <c r="B1" t="inlineStr">
        <is>
          <t>Factors</t>
        </is>
      </c>
      <c r="C1" t="inlineStr">
        <is>
          <t>Snore Score</t>
        </is>
      </c>
      <c r="D1" t="inlineStr">
        <is>
          <t>Snoring Percentage%</t>
        </is>
      </c>
      <c r="E1" t="inlineStr">
        <is>
          <t>Volume</t>
        </is>
      </c>
      <c r="F1" t="inlineStr">
        <is>
          <t>Count</t>
        </is>
      </c>
    </row>
    <row r="2">
      <c r="A2" t="inlineStr">
        <is>
          <t>SnoreRx</t>
        </is>
      </c>
      <c r="B2" t="inlineStr">
        <is>
          <t>None</t>
        </is>
      </c>
      <c r="C2" t="n">
        <v>115.76</v>
      </c>
      <c r="D2" t="inlineStr">
        <is>
          <t>78.47%</t>
        </is>
      </c>
      <c r="E2" t="n">
        <v>1.48</v>
      </c>
      <c r="F2" t="n">
        <v>1</v>
      </c>
    </row>
    <row r="3">
      <c r="A3" t="inlineStr">
        <is>
          <t>None</t>
        </is>
      </c>
      <c r="B3" t="inlineStr">
        <is>
          <t>None</t>
        </is>
      </c>
      <c r="C3" t="n">
        <v>78.43000000000001</v>
      </c>
      <c r="D3" t="inlineStr">
        <is>
          <t>71.26%</t>
        </is>
      </c>
      <c r="E3" t="n">
        <v>1.1</v>
      </c>
      <c r="F3" t="n">
        <v>1</v>
      </c>
    </row>
    <row r="4">
      <c r="A4" t="inlineStr">
        <is>
          <t>None</t>
        </is>
      </c>
      <c r="B4" t="inlineStr">
        <is>
          <t>Shower</t>
        </is>
      </c>
      <c r="C4" t="n">
        <v>60.55</v>
      </c>
      <c r="D4" t="inlineStr">
        <is>
          <t>53.92%</t>
        </is>
      </c>
      <c r="E4" t="n">
        <v>1.13</v>
      </c>
      <c r="F4" t="n">
        <v>10</v>
      </c>
    </row>
    <row r="5">
      <c r="A5" t="inlineStr">
        <is>
          <t>None</t>
        </is>
      </c>
      <c r="B5" t="inlineStr">
        <is>
          <t>Shower, Worked out</t>
        </is>
      </c>
      <c r="C5" t="n">
        <v>14.49</v>
      </c>
      <c r="D5" t="inlineStr">
        <is>
          <t>8.50%</t>
        </is>
      </c>
      <c r="E5" t="n">
        <v>1.7</v>
      </c>
      <c r="F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style="15" min="1" max="2"/>
    <col width="13" customWidth="1" style="15" min="3" max="3"/>
    <col width="20" customWidth="1" style="15" min="4" max="4"/>
    <col width="38" customWidth="1" style="15" min="5" max="5"/>
  </cols>
  <sheetData>
    <row r="1">
      <c r="A1" t="inlineStr">
        <is>
          <t>date</t>
        </is>
      </c>
      <c r="B1" t="inlineStr">
        <is>
          <t>duration</t>
        </is>
      </c>
      <c r="C1" t="inlineStr">
        <is>
          <t>snore_score</t>
        </is>
      </c>
      <c r="D1" t="inlineStr">
        <is>
          <t>tags</t>
        </is>
      </c>
      <c r="E1" t="inlineStr">
        <is>
          <t>source</t>
        </is>
      </c>
    </row>
    <row r="2">
      <c r="A2" s="4" t="n">
        <v>44101</v>
      </c>
      <c r="B2" t="inlineStr">
        <is>
          <t>7h 3m</t>
        </is>
      </c>
      <c r="C2" t="n">
        <v>75</v>
      </c>
      <c r="D2" t="inlineStr">
        <is>
          <t>Shower</t>
        </is>
      </c>
      <c r="E2" t="inlineStr">
        <is>
          <t>Snore Reports screenshot IMG_3870.jpeg</t>
        </is>
      </c>
    </row>
    <row r="3">
      <c r="A3" s="4" t="n">
        <v>44102</v>
      </c>
      <c r="B3" t="inlineStr">
        <is>
          <t>5h 12m</t>
        </is>
      </c>
      <c r="C3" t="n">
        <v>78</v>
      </c>
      <c r="E3" t="inlineStr">
        <is>
          <t>Snore Reports screenshot IMG_3870.jpeg</t>
        </is>
      </c>
    </row>
    <row r="4">
      <c r="A4" s="4" t="n">
        <v>44103</v>
      </c>
      <c r="B4" t="inlineStr">
        <is>
          <t>5h 11m</t>
        </is>
      </c>
      <c r="C4" t="n">
        <v>116</v>
      </c>
      <c r="D4" t="inlineStr">
        <is>
          <t>Mouthguard</t>
        </is>
      </c>
      <c r="E4" t="inlineStr">
        <is>
          <t>Snore Reports screenshot IMG_3870.jpeg</t>
        </is>
      </c>
    </row>
    <row r="5">
      <c r="A5" s="4" t="n">
        <v>44105</v>
      </c>
      <c r="B5" t="inlineStr">
        <is>
          <t>6h 27m</t>
        </is>
      </c>
      <c r="C5" t="n">
        <v>81</v>
      </c>
      <c r="E5" t="inlineStr">
        <is>
          <t>Snore Reports screenshot IMG_3870.jpeg</t>
        </is>
      </c>
    </row>
    <row r="6">
      <c r="A6" s="4" t="n">
        <v>44106</v>
      </c>
      <c r="B6" t="inlineStr">
        <is>
          <t>5h 43m</t>
        </is>
      </c>
      <c r="C6" t="n">
        <v>46</v>
      </c>
      <c r="E6" t="inlineStr">
        <is>
          <t>Snore Reports screenshot IMG_3870.jpeg</t>
        </is>
      </c>
    </row>
    <row r="7">
      <c r="A7" s="4" t="n">
        <v>44107</v>
      </c>
      <c r="B7" t="inlineStr">
        <is>
          <t>5h 35m</t>
        </is>
      </c>
      <c r="C7" t="n">
        <v>100</v>
      </c>
      <c r="D7" t="inlineStr">
        <is>
          <t>Shower</t>
        </is>
      </c>
      <c r="E7" t="inlineStr">
        <is>
          <t>Snore Reports screenshot IMG_3870.jpeg</t>
        </is>
      </c>
    </row>
    <row r="8">
      <c r="A8" s="4" t="n">
        <v>44109</v>
      </c>
      <c r="B8" t="inlineStr">
        <is>
          <t>6h 39m</t>
        </is>
      </c>
      <c r="C8" t="n">
        <v>58</v>
      </c>
      <c r="E8" t="inlineStr">
        <is>
          <t>Snore Reports screenshot IMG_3868.jpeg</t>
        </is>
      </c>
    </row>
    <row r="9">
      <c r="A9" s="4" t="n">
        <v>44111</v>
      </c>
      <c r="B9" t="inlineStr">
        <is>
          <t>6h 43m</t>
        </is>
      </c>
      <c r="C9" t="n">
        <v>76</v>
      </c>
      <c r="D9" t="inlineStr">
        <is>
          <t>Shower? (icon shown)</t>
        </is>
      </c>
      <c r="E9" t="inlineStr">
        <is>
          <t>Snore Reports screenshot IMG_3870.jpeg</t>
        </is>
      </c>
    </row>
    <row r="10">
      <c r="A10" s="4" t="n">
        <v>45978</v>
      </c>
      <c r="B10" t="inlineStr">
        <is>
          <t>2h 9m</t>
        </is>
      </c>
      <c r="C10" t="n">
        <v>27</v>
      </c>
      <c r="D10" t="inlineStr">
        <is>
          <t>Shower</t>
        </is>
      </c>
      <c r="E10" t="inlineStr">
        <is>
          <t>Snore Reports screenshot IMG_3868.jpeg</t>
        </is>
      </c>
    </row>
    <row r="11">
      <c r="A11" s="4" t="n">
        <v>45985</v>
      </c>
      <c r="B11" t="inlineStr">
        <is>
          <t>5h 43m</t>
        </is>
      </c>
      <c r="C11" t="n">
        <v>53</v>
      </c>
      <c r="D11" t="inlineStr">
        <is>
          <t>Shower</t>
        </is>
      </c>
      <c r="E11" t="inlineStr">
        <is>
          <t>Snore Reports screenshot IMG_3868.jpeg</t>
        </is>
      </c>
    </row>
    <row r="12">
      <c r="A12" s="4" t="n">
        <v>46055</v>
      </c>
      <c r="B12" t="inlineStr">
        <is>
          <t>7h 8m</t>
        </is>
      </c>
      <c r="C12" t="n">
        <v>4</v>
      </c>
      <c r="D12" t="inlineStr">
        <is>
          <t>Shower</t>
        </is>
      </c>
      <c r="E12" t="inlineStr">
        <is>
          <t>Snore Reports screenshot IMG_3868.jpeg</t>
        </is>
      </c>
    </row>
    <row r="13">
      <c r="A13" s="4" t="n">
        <v>46060</v>
      </c>
      <c r="B13" t="inlineStr">
        <is>
          <t>6h 52m</t>
        </is>
      </c>
      <c r="C13" t="n">
        <v>14</v>
      </c>
      <c r="D13" t="inlineStr">
        <is>
          <t>Shower; Worked out</t>
        </is>
      </c>
      <c r="E13" t="inlineStr">
        <is>
          <t>Snore Reports screenshot IMG_3868.jpeg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12" customWidth="1" style="15" min="2" max="2"/>
    <col width="10" customWidth="1" style="15" min="3" max="4"/>
    <col width="19" customWidth="1" style="15" min="5" max="5"/>
    <col width="10" customWidth="1" style="15" min="6" max="6"/>
    <col width="31" customWidth="1" style="15" min="7" max="7"/>
    <col width="10" customWidth="1" style="15" min="8" max="9"/>
    <col width="18" customWidth="1" style="15" min="10" max="10"/>
  </cols>
  <sheetData>
    <row r="1">
      <c r="A1" t="inlineStr">
        <is>
          <t>fat_g</t>
        </is>
      </c>
      <c r="B1" t="inlineStr">
        <is>
          <t>lean_bmc_g</t>
        </is>
      </c>
      <c r="C1" t="inlineStr">
        <is>
          <t>total_g</t>
        </is>
      </c>
      <c r="D1" t="inlineStr">
        <is>
          <t>pct_fat</t>
        </is>
      </c>
      <c r="E1" t="inlineStr">
        <is>
          <t>est_vat_area_cm2</t>
        </is>
      </c>
      <c r="F1" t="inlineStr">
        <is>
          <t>scan_date</t>
        </is>
      </c>
      <c r="G1" t="inlineStr">
        <is>
          <t>source</t>
        </is>
      </c>
      <c r="H1" t="inlineStr">
        <is>
          <t>bmc_g</t>
        </is>
      </c>
      <c r="I1" t="inlineStr">
        <is>
          <t>lean_g</t>
        </is>
      </c>
      <c r="J1" t="inlineStr">
        <is>
          <t>pct_fat_calc</t>
        </is>
      </c>
    </row>
    <row r="2">
      <c r="A2" t="n">
        <v>26728</v>
      </c>
      <c r="B2" t="n">
        <v>52175</v>
      </c>
      <c r="C2" t="n">
        <v>78903</v>
      </c>
      <c r="D2" t="n">
        <v>33.9</v>
      </c>
      <c r="E2" t="n">
        <v>155</v>
      </c>
      <c r="F2" s="4" t="n">
        <v>45895</v>
      </c>
      <c r="G2" t="inlineStr">
        <is>
          <t>AGVG_DexaScan Sept 25.pdf (OCR)</t>
        </is>
      </c>
    </row>
    <row r="3">
      <c r="A3" t="n">
        <v>23669</v>
      </c>
      <c r="B3" t="n">
        <v>51805</v>
      </c>
      <c r="C3" t="n">
        <v>75474</v>
      </c>
      <c r="D3" t="n">
        <v>31.4</v>
      </c>
      <c r="F3" s="4" t="n">
        <v>45980</v>
      </c>
      <c r="G3" t="inlineStr">
        <is>
          <t>DEXA 11 25.pdf (OCR)</t>
        </is>
      </c>
    </row>
    <row r="4">
      <c r="A4" t="n">
        <v>21764.1</v>
      </c>
      <c r="B4" t="n">
        <v>51308.3</v>
      </c>
      <c r="C4" t="n">
        <v>73072.39999999999</v>
      </c>
      <c r="F4" s="4" t="n">
        <v>46036</v>
      </c>
      <c r="G4" t="inlineStr">
        <is>
          <t>dexas scan 16 01 26.pdf (OCR)</t>
        </is>
      </c>
      <c r="H4" t="n">
        <v>369.26</v>
      </c>
      <c r="I4" t="n">
        <v>48939</v>
      </c>
      <c r="J4" t="n">
        <v>29.78429612274949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18" customWidth="1" style="15" min="2" max="2"/>
    <col width="10" customWidth="1" style="15" min="3" max="5"/>
    <col width="19" customWidth="1" style="15" min="6" max="6"/>
    <col width="42" customWidth="1" style="15" min="7" max="7"/>
  </cols>
  <sheetData>
    <row r="1">
      <c r="A1" t="inlineStr">
        <is>
          <t>date</t>
        </is>
      </c>
      <c r="B1" t="inlineStr">
        <is>
          <t>exercise</t>
        </is>
      </c>
      <c r="C1" t="inlineStr">
        <is>
          <t>reps</t>
        </is>
      </c>
      <c r="D1" t="inlineStr">
        <is>
          <t>load_lb</t>
        </is>
      </c>
      <c r="E1" t="inlineStr">
        <is>
          <t>method</t>
        </is>
      </c>
      <c r="F1" t="inlineStr">
        <is>
          <t>estimated_1rm_lb</t>
        </is>
      </c>
      <c r="G1" t="inlineStr">
        <is>
          <t>source</t>
        </is>
      </c>
    </row>
    <row r="2">
      <c r="A2" s="4" t="n">
        <v>46056</v>
      </c>
      <c r="B2" t="inlineStr">
        <is>
          <t>Chest press</t>
        </is>
      </c>
      <c r="C2" t="n">
        <v>8</v>
      </c>
      <c r="D2" t="n">
        <v>105</v>
      </c>
      <c r="E2" t="inlineStr">
        <is>
          <t>e1RM (OCR)</t>
        </is>
      </c>
      <c r="F2" t="n">
        <v>113</v>
      </c>
      <c r="G2" t="inlineStr">
        <is>
          <t>Strength Testing Results.png OCR (partial)</t>
        </is>
      </c>
    </row>
    <row r="3">
      <c r="A3" s="4" t="n">
        <v>46056</v>
      </c>
      <c r="B3" t="inlineStr">
        <is>
          <t>Leg press (seated)</t>
        </is>
      </c>
      <c r="C3" t="n">
        <v>6</v>
      </c>
      <c r="D3" t="n">
        <v>260</v>
      </c>
      <c r="E3" t="inlineStr">
        <is>
          <t>e1RM (OCR)</t>
        </is>
      </c>
      <c r="F3" t="n">
        <v>132</v>
      </c>
      <c r="G3" t="inlineStr">
        <is>
          <t>Strength Testing Results.png OCR (partial)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43" customWidth="1" style="15" min="2" max="2"/>
    <col width="26" customWidth="1" style="15" min="3" max="3"/>
    <col width="42" customWidth="1" style="15" min="4" max="4"/>
  </cols>
  <sheetData>
    <row r="1">
      <c r="A1" t="inlineStr">
        <is>
          <t>Day</t>
        </is>
      </c>
      <c r="B1" t="inlineStr">
        <is>
          <t>Run</t>
        </is>
      </c>
      <c r="C1" t="inlineStr">
        <is>
          <t>Strength Focus</t>
        </is>
      </c>
      <c r="D1" t="inlineStr">
        <is>
          <t>Notes</t>
        </is>
      </c>
    </row>
    <row r="2">
      <c r="A2" t="inlineStr">
        <is>
          <t>Monday</t>
        </is>
      </c>
      <c r="B2" t="inlineStr">
        <is>
          <t>Speed intervals, 30 min</t>
        </is>
      </c>
      <c r="C2" t="inlineStr">
        <is>
          <t>Upper Push</t>
        </is>
      </c>
      <c r="D2" t="inlineStr">
        <is>
          <t>Run first, then lift</t>
        </is>
      </c>
    </row>
    <row r="3">
      <c r="A3" t="inlineStr">
        <is>
          <t>Tuesday</t>
        </is>
      </c>
      <c r="B3" t="inlineStr">
        <is>
          <t>None</t>
        </is>
      </c>
      <c r="C3" t="inlineStr">
        <is>
          <t>Legs (knee-dominant)</t>
        </is>
      </c>
      <c r="D3" t="inlineStr">
        <is>
          <t>Full 60 min strength</t>
        </is>
      </c>
    </row>
    <row r="4">
      <c r="A4" t="inlineStr">
        <is>
          <t>Wednesday</t>
        </is>
      </c>
      <c r="B4" t="inlineStr">
        <is>
          <t>Easy aerobic, 30 min</t>
        </is>
      </c>
      <c r="C4" t="inlineStr">
        <is>
          <t>Upper Pull</t>
        </is>
      </c>
      <c r="D4" t="inlineStr">
        <is>
          <t>Conversational pace</t>
        </is>
      </c>
    </row>
    <row r="5">
      <c r="A5" t="inlineStr">
        <is>
          <t>Thursday</t>
        </is>
      </c>
      <c r="B5" t="inlineStr">
        <is>
          <t>None</t>
        </is>
      </c>
      <c r="C5" t="inlineStr">
        <is>
          <t>Legs (hip-dominant)</t>
        </is>
      </c>
      <c r="D5" t="inlineStr">
        <is>
          <t>Full 60 min strength</t>
        </is>
      </c>
    </row>
    <row r="6">
      <c r="A6" t="inlineStr">
        <is>
          <t>Friday</t>
        </is>
      </c>
      <c r="B6" t="inlineStr">
        <is>
          <t>Long run, start 30 min then ramp to 45 → 60</t>
        </is>
      </c>
      <c r="C6" t="inlineStr">
        <is>
          <t>Torso, shoulders, and core</t>
        </is>
      </c>
      <c r="D6" t="inlineStr">
        <is>
          <t>Keep 30 min strength even as the run grows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0" customWidth="1" style="15" min="1" max="2"/>
    <col width="22" customWidth="1" style="15" min="3" max="3"/>
    <col width="45" customWidth="1" style="15" min="4" max="4"/>
    <col width="30" customWidth="1" style="15" min="5" max="5"/>
    <col width="10" customWidth="1" style="15" min="6" max="6"/>
    <col width="24" customWidth="1" style="15" min="7" max="7"/>
    <col width="45" customWidth="1" style="15" min="8" max="8"/>
    <col width="27" customWidth="1" style="15" min="9" max="9"/>
    <col width="24" customWidth="1" style="15" min="10" max="10"/>
    <col width="45" customWidth="1" style="15" min="11" max="11"/>
  </cols>
  <sheetData>
    <row r="1">
      <c r="A1" t="inlineStr">
        <is>
          <t>Day</t>
        </is>
      </c>
      <c r="B1" t="inlineStr">
        <is>
          <t>Block</t>
        </is>
      </c>
      <c r="C1" t="inlineStr">
        <is>
          <t>Exercise</t>
        </is>
      </c>
      <c r="D1" t="inlineStr">
        <is>
          <t>Machine/Primary Option</t>
        </is>
      </c>
      <c r="E1" t="inlineStr">
        <is>
          <t>DB/Alt Option</t>
        </is>
      </c>
      <c r="F1" t="inlineStr">
        <is>
          <t>Sets</t>
        </is>
      </c>
      <c r="G1" t="inlineStr">
        <is>
          <t>Reps Target</t>
        </is>
      </c>
      <c r="H1" t="inlineStr">
        <is>
          <t>Starting Load</t>
        </is>
      </c>
      <c r="I1" t="inlineStr">
        <is>
          <t>Tempo</t>
        </is>
      </c>
      <c r="J1" t="inlineStr">
        <is>
          <t>Rest</t>
        </is>
      </c>
      <c r="K1" t="inlineStr">
        <is>
          <t>Notes</t>
        </is>
      </c>
    </row>
    <row r="2">
      <c r="A2" t="inlineStr">
        <is>
          <t>Monday</t>
        </is>
      </c>
      <c r="B2" t="inlineStr">
        <is>
          <t>A</t>
        </is>
      </c>
      <c r="C2" t="inlineStr">
        <is>
          <t>Chest Press</t>
        </is>
      </c>
      <c r="D2" t="inlineStr">
        <is>
          <t>Technogym Chest Press</t>
        </is>
      </c>
      <c r="E2" t="inlineStr">
        <is>
          <t>DB Flat Press</t>
        </is>
      </c>
      <c r="F2" t="inlineStr">
        <is>
          <t>3</t>
        </is>
      </c>
      <c r="G2" t="inlineStr">
        <is>
          <t>8–12</t>
        </is>
      </c>
      <c r="H2" t="inlineStr">
        <is>
          <t>120 lb</t>
        </is>
      </c>
      <c r="I2" t="inlineStr">
        <is>
          <t>2-0-2</t>
        </is>
      </c>
      <c r="J2" t="inlineStr">
        <is>
          <t>60–90 s</t>
        </is>
      </c>
      <c r="K2" t="inlineStr">
        <is>
          <t>Add load when 3x12 done clean</t>
        </is>
      </c>
    </row>
    <row r="3">
      <c r="A3" t="inlineStr">
        <is>
          <t>Monday</t>
        </is>
      </c>
      <c r="B3" t="inlineStr">
        <is>
          <t>A</t>
        </is>
      </c>
      <c r="C3" t="inlineStr">
        <is>
          <t>Row (balance)</t>
        </is>
      </c>
      <c r="D3" t="inlineStr">
        <is>
          <t>Technogym Seated Row</t>
        </is>
      </c>
      <c r="E3" t="inlineStr">
        <is>
          <t>Chest-supported DB Row</t>
        </is>
      </c>
      <c r="F3" t="inlineStr">
        <is>
          <t>3</t>
        </is>
      </c>
      <c r="G3" t="inlineStr">
        <is>
          <t>8–12</t>
        </is>
      </c>
      <c r="H3" t="inlineStr">
        <is>
          <t>TBD on first use; pick a weight that allows 8–12 reps with 1–2 reps in reserve on the final set.</t>
        </is>
      </c>
      <c r="I3" t="inlineStr">
        <is>
          <t>2-1-2</t>
        </is>
      </c>
      <c r="J3" t="inlineStr">
        <is>
          <t>60–90 s</t>
        </is>
      </c>
      <c r="K3" t="inlineStr">
        <is>
          <t>Scapula toward back pockets</t>
        </is>
      </c>
    </row>
    <row r="4">
      <c r="A4" t="inlineStr">
        <is>
          <t>Monday</t>
        </is>
      </c>
      <c r="B4" t="inlineStr">
        <is>
          <t>B</t>
        </is>
      </c>
      <c r="C4" t="inlineStr">
        <is>
          <t>Incline Press</t>
        </is>
      </c>
      <c r="D4" t="inlineStr">
        <is>
          <t>Incline Press (if available)</t>
        </is>
      </c>
      <c r="E4" t="inlineStr">
        <is>
          <t>DB Incline Press</t>
        </is>
      </c>
      <c r="F4" t="inlineStr">
        <is>
          <t>3</t>
        </is>
      </c>
      <c r="G4" t="inlineStr">
        <is>
          <t>8–12</t>
        </is>
      </c>
      <c r="H4" t="inlineStr">
        <is>
          <t>TBD on first use; pick a weight that allows 8–12 reps with 1–2 reps in reserve on the final set.</t>
        </is>
      </c>
      <c r="I4" t="inlineStr">
        <is>
          <t>2-0-2</t>
        </is>
      </c>
      <c r="J4" t="inlineStr">
        <is>
          <t>60–90 s</t>
        </is>
      </c>
      <c r="K4" t="inlineStr">
        <is>
          <t>Low incline if shoulder sensitive</t>
        </is>
      </c>
    </row>
    <row r="5">
      <c r="A5" t="inlineStr">
        <is>
          <t>Monday</t>
        </is>
      </c>
      <c r="B5" t="inlineStr">
        <is>
          <t>B</t>
        </is>
      </c>
      <c r="C5" t="inlineStr">
        <is>
          <t>Face Pull / ER</t>
        </is>
      </c>
      <c r="D5" t="inlineStr">
        <is>
          <t>Cable Face Pull</t>
        </is>
      </c>
      <c r="E5" t="inlineStr">
        <is>
          <t>Band External Rotation</t>
        </is>
      </c>
      <c r="F5" t="inlineStr">
        <is>
          <t>3</t>
        </is>
      </c>
      <c r="G5" t="inlineStr">
        <is>
          <t>12–15</t>
        </is>
      </c>
      <c r="H5" t="inlineStr">
        <is>
          <t>TBD on first use; pick a weight that allows 8–12 reps with 1–2 reps in reserve on the final set.</t>
        </is>
      </c>
      <c r="I5" t="inlineStr">
        <is>
          <t>2-1-2</t>
        </is>
      </c>
      <c r="J5" t="inlineStr">
        <is>
          <t>45–60 s</t>
        </is>
      </c>
      <c r="K5" t="inlineStr">
        <is>
          <t>Elbows high, hit rear delts/rotator cuff</t>
        </is>
      </c>
    </row>
    <row r="6">
      <c r="A6" t="inlineStr">
        <is>
          <t>Monday</t>
        </is>
      </c>
      <c r="B6" t="inlineStr">
        <is>
          <t>C</t>
        </is>
      </c>
      <c r="C6" t="inlineStr">
        <is>
          <t>Shoulder Press</t>
        </is>
      </c>
      <c r="D6" t="inlineStr">
        <is>
          <t>Technogym Shoulder Press</t>
        </is>
      </c>
      <c r="E6" t="inlineStr">
        <is>
          <t>DB Shoulder Press</t>
        </is>
      </c>
      <c r="F6" t="inlineStr">
        <is>
          <t>2</t>
        </is>
      </c>
      <c r="G6" t="inlineStr">
        <is>
          <t>8–12</t>
        </is>
      </c>
      <c r="H6" t="inlineStr">
        <is>
          <t>TBD on first use; pick a weight that allows 8–12 reps with 1–2 reps in reserve on the final set.</t>
        </is>
      </c>
      <c r="I6" t="inlineStr">
        <is>
          <t>2-0-2</t>
        </is>
      </c>
      <c r="J6" t="inlineStr">
        <is>
          <t>60 s</t>
        </is>
      </c>
      <c r="K6" t="inlineStr">
        <is>
          <t>Neutral grip if neck or shoulders feel tight</t>
        </is>
      </c>
    </row>
    <row r="7">
      <c r="A7" t="inlineStr">
        <is>
          <t>Monday</t>
        </is>
      </c>
      <c r="B7" t="inlineStr">
        <is>
          <t>C</t>
        </is>
      </c>
      <c r="C7" t="inlineStr">
        <is>
          <t>Triceps Overhead</t>
        </is>
      </c>
      <c r="D7" t="inlineStr">
        <is>
          <t>Cable Overhead Extension</t>
        </is>
      </c>
      <c r="E7" t="inlineStr">
        <is>
          <t>DB Overhead Triceps</t>
        </is>
      </c>
      <c r="F7" t="inlineStr">
        <is>
          <t>2</t>
        </is>
      </c>
      <c r="G7" t="inlineStr">
        <is>
          <t>8–12</t>
        </is>
      </c>
      <c r="H7" t="inlineStr">
        <is>
          <t>30 lb DB</t>
        </is>
      </c>
      <c r="I7" t="inlineStr">
        <is>
          <t>2-0-2</t>
        </is>
      </c>
      <c r="J7" t="inlineStr">
        <is>
          <t>45–60 s</t>
        </is>
      </c>
      <c r="K7" t="inlineStr">
        <is>
          <t>Smooth lockout</t>
        </is>
      </c>
    </row>
    <row r="8">
      <c r="A8" t="inlineStr">
        <is>
          <t>Tuesday</t>
        </is>
      </c>
      <c r="B8" t="inlineStr">
        <is>
          <t>A</t>
        </is>
      </c>
      <c r="C8" t="inlineStr">
        <is>
          <t>Leg Press or Squat</t>
        </is>
      </c>
      <c r="D8" t="inlineStr">
        <is>
          <t>Technogym Leg Press</t>
        </is>
      </c>
      <c r="E8" t="inlineStr">
        <is>
          <t>Goblet Squat</t>
        </is>
      </c>
      <c r="F8" t="inlineStr">
        <is>
          <t>3</t>
        </is>
      </c>
      <c r="G8" t="inlineStr">
        <is>
          <t>8–12</t>
        </is>
      </c>
      <c r="H8" t="inlineStr">
        <is>
          <t>25 lb DB for goblet</t>
        </is>
      </c>
      <c r="I8" t="inlineStr">
        <is>
          <t>2-1-2</t>
        </is>
      </c>
      <c r="J8" t="inlineStr">
        <is>
          <t>60–90 s</t>
        </is>
      </c>
      <c r="K8" t="inlineStr">
        <is>
          <t>Heels down, full range</t>
        </is>
      </c>
    </row>
    <row r="9">
      <c r="A9" t="inlineStr">
        <is>
          <t>Tuesday</t>
        </is>
      </c>
      <c r="B9" t="inlineStr">
        <is>
          <t>A</t>
        </is>
      </c>
      <c r="C9" t="inlineStr">
        <is>
          <t>Calf Raise (bent-knee)</t>
        </is>
      </c>
      <c r="D9" t="inlineStr">
        <is>
          <t>Seated Calf Raise</t>
        </is>
      </c>
      <c r="E9" t="inlineStr">
        <is>
          <t>DB Seated Calf</t>
        </is>
      </c>
      <c r="F9" t="inlineStr">
        <is>
          <t>3</t>
        </is>
      </c>
      <c r="G9" t="inlineStr">
        <is>
          <t>10–15</t>
        </is>
      </c>
      <c r="H9" t="inlineStr">
        <is>
          <t>TBD on first use; pick a weight that allows 8–12 reps with 1–2 reps in reserve on the final set.</t>
        </is>
      </c>
      <c r="I9" t="inlineStr">
        <is>
          <t>2-1-2</t>
        </is>
      </c>
      <c r="J9" t="inlineStr">
        <is>
          <t>45–60 s</t>
        </is>
      </c>
      <c r="K9" t="inlineStr">
        <is>
          <t>Targets soleus for running resilience</t>
        </is>
      </c>
    </row>
    <row r="10">
      <c r="A10" t="inlineStr">
        <is>
          <t>Tuesday</t>
        </is>
      </c>
      <c r="B10" t="inlineStr">
        <is>
          <t>B</t>
        </is>
      </c>
      <c r="C10" t="inlineStr">
        <is>
          <t>Split Squat / Lunge</t>
        </is>
      </c>
      <c r="D10" t="inlineStr">
        <is>
          <t>Smith Split Squat (optional)</t>
        </is>
      </c>
      <c r="E10" t="inlineStr">
        <is>
          <t>DB Split Squat</t>
        </is>
      </c>
      <c r="F10" t="inlineStr">
        <is>
          <t>3</t>
        </is>
      </c>
      <c r="G10" t="inlineStr">
        <is>
          <t>8–12/leg</t>
        </is>
      </c>
      <c r="H10" t="inlineStr">
        <is>
          <t>TBD on first use; pick a weight that allows 8–12 reps with 1–2 reps in reserve on the final set.</t>
        </is>
      </c>
      <c r="I10" t="inlineStr">
        <is>
          <t>2-1-2</t>
        </is>
      </c>
      <c r="J10" t="inlineStr">
        <is>
          <t>60–90 s</t>
        </is>
      </c>
      <c r="K10" t="inlineStr">
        <is>
          <t>Knee travels over toes comfortably</t>
        </is>
      </c>
    </row>
    <row r="11">
      <c r="A11" t="inlineStr">
        <is>
          <t>Tuesday</t>
        </is>
      </c>
      <c r="B11" t="inlineStr">
        <is>
          <t>B</t>
        </is>
      </c>
      <c r="C11" t="inlineStr">
        <is>
          <t>Leg Extension</t>
        </is>
      </c>
      <c r="D11" t="inlineStr">
        <is>
          <t>Technogym Leg Extension</t>
        </is>
      </c>
      <c r="E11" t="inlineStr">
        <is>
          <t>—</t>
        </is>
      </c>
      <c r="F11" t="inlineStr">
        <is>
          <t>3</t>
        </is>
      </c>
      <c r="G11" t="inlineStr">
        <is>
          <t>10–12</t>
        </is>
      </c>
      <c r="H11" t="inlineStr">
        <is>
          <t>100 lb</t>
        </is>
      </c>
      <c r="I11" t="inlineStr">
        <is>
          <t>2-1-2</t>
        </is>
      </c>
      <c r="J11" t="inlineStr">
        <is>
          <t>45–60 s</t>
        </is>
      </c>
      <c r="K11" t="inlineStr">
        <is>
          <t>Control the top, do not slam</t>
        </is>
      </c>
    </row>
    <row r="12">
      <c r="A12" t="inlineStr">
        <is>
          <t>Tuesday</t>
        </is>
      </c>
      <c r="B12" t="inlineStr">
        <is>
          <t>Finisher</t>
        </is>
      </c>
      <c r="C12" t="inlineStr">
        <is>
          <t>Core + Swings</t>
        </is>
      </c>
      <c r="D12" t="inlineStr">
        <is>
          <t>Leg Raises / Hanging or Bench</t>
        </is>
      </c>
      <c r="E12" t="inlineStr">
        <is>
          <t>KB Swing</t>
        </is>
      </c>
      <c r="F12" t="inlineStr">
        <is>
          <t>3 + 2</t>
        </is>
      </c>
      <c r="G12" t="inlineStr">
        <is>
          <t>3 x 15–20; 10–15 swings</t>
        </is>
      </c>
      <c r="H12" t="inlineStr">
        <is>
          <t>Bodyweight; 15 lb KB</t>
        </is>
      </c>
      <c r="I12" t="inlineStr">
        <is>
          <t>Controlled; explosive hinge</t>
        </is>
      </c>
      <c r="J12" t="inlineStr">
        <is>
          <t>30–45 s</t>
        </is>
      </c>
      <c r="K12" t="inlineStr">
        <is>
          <t>Match night reps; keep swings crisp</t>
        </is>
      </c>
    </row>
    <row r="13">
      <c r="A13" t="inlineStr">
        <is>
          <t>Wednesday</t>
        </is>
      </c>
      <c r="B13" t="inlineStr">
        <is>
          <t>A</t>
        </is>
      </c>
      <c r="C13" t="inlineStr">
        <is>
          <t>Assisted Pull-up</t>
        </is>
      </c>
      <c r="D13" t="inlineStr">
        <is>
          <t>Assisted Chin/Dip</t>
        </is>
      </c>
      <c r="E13" t="inlineStr">
        <is>
          <t>Neutral-Grip Pulldown</t>
        </is>
      </c>
      <c r="F13" t="inlineStr">
        <is>
          <t>3</t>
        </is>
      </c>
      <c r="G13" t="inlineStr">
        <is>
          <t>6–10</t>
        </is>
      </c>
      <c r="H13" t="inlineStr">
        <is>
          <t>Set1: assist 85 lb x10; Set2: assist 45 lb x7; Set3: assist 45 lb x6</t>
        </is>
      </c>
      <c r="I13" t="inlineStr">
        <is>
          <t>2-1-2</t>
        </is>
      </c>
      <c r="J13" t="inlineStr">
        <is>
          <t>90 s</t>
        </is>
      </c>
      <c r="K13" t="inlineStr">
        <is>
          <t>Progress by reducing assist when you hit 3x8+</t>
        </is>
      </c>
    </row>
    <row r="14">
      <c r="A14" t="inlineStr">
        <is>
          <t>Wednesday</t>
        </is>
      </c>
      <c r="B14" t="inlineStr">
        <is>
          <t>A</t>
        </is>
      </c>
      <c r="C14" t="inlineStr">
        <is>
          <t>Pulldown / Row</t>
        </is>
      </c>
      <c r="D14" t="inlineStr">
        <is>
          <t>Technogym Lat Pulldown</t>
        </is>
      </c>
      <c r="E14" t="inlineStr">
        <is>
          <t>Single-Arm Cable Row</t>
        </is>
      </c>
      <c r="F14" t="inlineStr">
        <is>
          <t>3</t>
        </is>
      </c>
      <c r="G14" t="inlineStr">
        <is>
          <t>8–12</t>
        </is>
      </c>
      <c r="H14" t="inlineStr">
        <is>
          <t>TBD on first use; pick a weight that allows 8–12 reps with 1–2 reps in reserve on the final set.</t>
        </is>
      </c>
      <c r="I14" t="inlineStr">
        <is>
          <t>2-1-2</t>
        </is>
      </c>
      <c r="J14" t="inlineStr">
        <is>
          <t>60–90 s</t>
        </is>
      </c>
      <c r="K14" t="inlineStr">
        <is>
          <t>Chest up, elbows to ribs</t>
        </is>
      </c>
    </row>
    <row r="15">
      <c r="A15" t="inlineStr">
        <is>
          <t>Wednesday</t>
        </is>
      </c>
      <c r="B15" t="inlineStr">
        <is>
          <t>B</t>
        </is>
      </c>
      <c r="C15" t="inlineStr">
        <is>
          <t>Rear Delt Fly</t>
        </is>
      </c>
      <c r="D15" t="inlineStr">
        <is>
          <t>Reverse Pec Deck</t>
        </is>
      </c>
      <c r="E15" t="inlineStr">
        <is>
          <t>DB Reverse Fly (incline bench)</t>
        </is>
      </c>
      <c r="F15" t="inlineStr">
        <is>
          <t>2–3</t>
        </is>
      </c>
      <c r="G15" t="inlineStr">
        <is>
          <t>12–15</t>
        </is>
      </c>
      <c r="H15" t="inlineStr">
        <is>
          <t>TBD on first use; pick a weight that allows 8–12 reps with 1–2 reps in reserve on the final set.</t>
        </is>
      </c>
      <c r="I15" t="inlineStr">
        <is>
          <t>2-1-2</t>
        </is>
      </c>
      <c r="J15" t="inlineStr">
        <is>
          <t>45–60 s</t>
        </is>
      </c>
      <c r="K15" t="inlineStr">
        <is>
          <t>Light, perfect control</t>
        </is>
      </c>
    </row>
    <row r="16">
      <c r="A16" t="inlineStr">
        <is>
          <t>Wednesday</t>
        </is>
      </c>
      <c r="B16" t="inlineStr">
        <is>
          <t>B</t>
        </is>
      </c>
      <c r="C16" t="inlineStr">
        <is>
          <t>Biceps Curl</t>
        </is>
      </c>
      <c r="D16" t="inlineStr">
        <is>
          <t>Cable EZ Curl</t>
        </is>
      </c>
      <c r="E16" t="inlineStr">
        <is>
          <t>DB Curl</t>
        </is>
      </c>
      <c r="F16" t="inlineStr">
        <is>
          <t>3</t>
        </is>
      </c>
      <c r="G16" t="inlineStr">
        <is>
          <t>8–12</t>
        </is>
      </c>
      <c r="H16" t="inlineStr">
        <is>
          <t>TBD on first use; pick a weight that allows 8–12 reps with 1–2 reps in reserve on the final set.</t>
        </is>
      </c>
      <c r="I16" t="inlineStr">
        <is>
          <t>2-0-2</t>
        </is>
      </c>
      <c r="J16" t="inlineStr">
        <is>
          <t>45–60 s</t>
        </is>
      </c>
      <c r="K16" t="inlineStr">
        <is>
          <t>No sway, full elbow extension</t>
        </is>
      </c>
    </row>
    <row r="17">
      <c r="A17" t="inlineStr">
        <is>
          <t>Thursday</t>
        </is>
      </c>
      <c r="B17" t="inlineStr">
        <is>
          <t>A</t>
        </is>
      </c>
      <c r="C17" t="inlineStr">
        <is>
          <t>Romanian Deadlift</t>
        </is>
      </c>
      <c r="D17" t="inlineStr">
        <is>
          <t>Smith RDL (optional)</t>
        </is>
      </c>
      <c r="E17" t="inlineStr">
        <is>
          <t>DB RDL</t>
        </is>
      </c>
      <c r="F17" t="inlineStr">
        <is>
          <t>3</t>
        </is>
      </c>
      <c r="G17" t="inlineStr">
        <is>
          <t>8–12</t>
        </is>
      </c>
      <c r="H17" t="inlineStr">
        <is>
          <t>TBD on first use; pick a weight that allows 8–12 reps with 1–2 reps in reserve on the final set.</t>
        </is>
      </c>
      <c r="I17" t="inlineStr">
        <is>
          <t>3-1-2</t>
        </is>
      </c>
      <c r="J17" t="inlineStr">
        <is>
          <t>60–90 s</t>
        </is>
      </c>
      <c r="K17" t="inlineStr">
        <is>
          <t>Hinge, flat back, hamstrings loaded</t>
        </is>
      </c>
    </row>
    <row r="18">
      <c r="A18" t="inlineStr">
        <is>
          <t>Thursday</t>
        </is>
      </c>
      <c r="B18" t="inlineStr">
        <is>
          <t>A</t>
        </is>
      </c>
      <c r="C18" t="inlineStr">
        <is>
          <t>Hamstring Curl</t>
        </is>
      </c>
      <c r="D18" t="inlineStr">
        <is>
          <t>Seated/Lying Leg Curl</t>
        </is>
      </c>
      <c r="E18" t="inlineStr">
        <is>
          <t>Swiss Ball Ham Curl</t>
        </is>
      </c>
      <c r="F18" t="inlineStr">
        <is>
          <t>3</t>
        </is>
      </c>
      <c r="G18" t="inlineStr">
        <is>
          <t>10–12</t>
        </is>
      </c>
      <c r="H18" t="inlineStr">
        <is>
          <t>TBD on first use; pick a weight that allows 8–12 reps with 1–2 reps in reserve on the final set.</t>
        </is>
      </c>
      <c r="I18" t="inlineStr">
        <is>
          <t>3-0-2</t>
        </is>
      </c>
      <c r="J18" t="inlineStr">
        <is>
          <t>60–90 s</t>
        </is>
      </c>
      <c r="K18" t="inlineStr">
        <is>
          <t>Slow eccentric</t>
        </is>
      </c>
    </row>
    <row r="19">
      <c r="A19" t="inlineStr">
        <is>
          <t>Thursday</t>
        </is>
      </c>
      <c r="B19" t="inlineStr">
        <is>
          <t>B</t>
        </is>
      </c>
      <c r="C19" t="inlineStr">
        <is>
          <t>Hip Thrust / Bridge</t>
        </is>
      </c>
      <c r="D19" t="inlineStr">
        <is>
          <t>Hip Thrust Machine / Smith</t>
        </is>
      </c>
      <c r="E19" t="inlineStr">
        <is>
          <t>Barbell/DB Glute Bridge</t>
        </is>
      </c>
      <c r="F19" t="inlineStr">
        <is>
          <t>3</t>
        </is>
      </c>
      <c r="G19" t="inlineStr">
        <is>
          <t>8–12</t>
        </is>
      </c>
      <c r="H19" t="inlineStr">
        <is>
          <t>TBD on first use; pick a weight that allows 8–12 reps with 1–2 reps in reserve on the final set.</t>
        </is>
      </c>
      <c r="I19" t="inlineStr">
        <is>
          <t>2-1-2</t>
        </is>
      </c>
      <c r="J19" t="inlineStr">
        <is>
          <t>60–90 s</t>
        </is>
      </c>
      <c r="K19" t="inlineStr">
        <is>
          <t>Pause at top, ribs down</t>
        </is>
      </c>
    </row>
    <row r="20">
      <c r="A20" t="inlineStr">
        <is>
          <t>Thursday</t>
        </is>
      </c>
      <c r="B20" t="inlineStr">
        <is>
          <t>B</t>
        </is>
      </c>
      <c r="C20" t="inlineStr">
        <is>
          <t>Lateral Hip / Calf</t>
        </is>
      </c>
      <c r="D20" t="inlineStr">
        <is>
          <t>Hip Abductor + Eccentric Calf</t>
        </is>
      </c>
      <c r="E20" t="inlineStr">
        <is>
          <t>Banded Lateral Steps + DB Calf</t>
        </is>
      </c>
      <c r="F20" t="inlineStr">
        <is>
          <t>2 + 2</t>
        </is>
      </c>
      <c r="G20" t="inlineStr">
        <is>
          <t>12–15; 10–12 slow lowers</t>
        </is>
      </c>
      <c r="H20" t="inlineStr">
        <is>
          <t>TBD on first use; pick a weight that allows 8–12 reps with 1–2 reps in reserve on the final set.</t>
        </is>
      </c>
      <c r="I20" t="inlineStr">
        <is>
          <t>Controlled</t>
        </is>
      </c>
      <c r="J20" t="inlineStr">
        <is>
          <t>45–60 s</t>
        </is>
      </c>
      <c r="K20" t="inlineStr">
        <is>
          <t>Protect knees and Achilles</t>
        </is>
      </c>
    </row>
    <row r="21">
      <c r="A21" t="inlineStr">
        <is>
          <t>Friday</t>
        </is>
      </c>
      <c r="B21" t="inlineStr">
        <is>
          <t>A</t>
        </is>
      </c>
      <c r="C21" t="inlineStr">
        <is>
          <t>Shoulder Press (light)</t>
        </is>
      </c>
      <c r="D21" t="inlineStr">
        <is>
          <t>Technogym Shoulder Press</t>
        </is>
      </c>
      <c r="E21" t="inlineStr">
        <is>
          <t>DB Shoulder Press</t>
        </is>
      </c>
      <c r="F21" t="inlineStr">
        <is>
          <t>2</t>
        </is>
      </c>
      <c r="G21" t="inlineStr">
        <is>
          <t>8–12</t>
        </is>
      </c>
      <c r="H21" t="inlineStr">
        <is>
          <t>TBD on first use; pick a weight that allows 8–12 reps with 1–2 reps in reserve on the final set.</t>
        </is>
      </c>
      <c r="I21" t="inlineStr">
        <is>
          <t>2-0-2</t>
        </is>
      </c>
      <c r="J21" t="inlineStr">
        <is>
          <t>45–60 s</t>
        </is>
      </c>
      <c r="K21" t="inlineStr">
        <is>
          <t>Keep it easy after long run</t>
        </is>
      </c>
    </row>
    <row r="22">
      <c r="A22" t="inlineStr">
        <is>
          <t>Friday</t>
        </is>
      </c>
      <c r="B22" t="inlineStr">
        <is>
          <t>A</t>
        </is>
      </c>
      <c r="C22" t="inlineStr">
        <is>
          <t>Pec Fly or Cable Fly</t>
        </is>
      </c>
      <c r="D22" t="inlineStr">
        <is>
          <t>Pec Deck / Cable Fly</t>
        </is>
      </c>
      <c r="E22" t="inlineStr">
        <is>
          <t>DB Fly (light)</t>
        </is>
      </c>
      <c r="F22" t="inlineStr">
        <is>
          <t>2</t>
        </is>
      </c>
      <c r="G22" t="inlineStr">
        <is>
          <t>10–12</t>
        </is>
      </c>
      <c r="H22" t="inlineStr">
        <is>
          <t>TBD on first use; pick a weight that allows 8–12 reps with 1–2 reps in reserve on the final set.</t>
        </is>
      </c>
      <c r="I22" t="inlineStr">
        <is>
          <t>2-1-2</t>
        </is>
      </c>
      <c r="J22" t="inlineStr">
        <is>
          <t>45–60 s</t>
        </is>
      </c>
      <c r="K22" t="inlineStr">
        <is>
          <t>Short ROM, chest activation</t>
        </is>
      </c>
    </row>
    <row r="23">
      <c r="A23" t="inlineStr">
        <is>
          <t>Friday</t>
        </is>
      </c>
      <c r="B23" t="inlineStr">
        <is>
          <t>B</t>
        </is>
      </c>
      <c r="C23" t="inlineStr">
        <is>
          <t>Light Row / Face Pull</t>
        </is>
      </c>
      <c r="D23" t="inlineStr">
        <is>
          <t>Cable Row / Face Pull</t>
        </is>
      </c>
      <c r="E23" t="inlineStr">
        <is>
          <t>Band Row</t>
        </is>
      </c>
      <c r="F23" t="inlineStr">
        <is>
          <t>2</t>
        </is>
      </c>
      <c r="G23" t="inlineStr">
        <is>
          <t>12–15</t>
        </is>
      </c>
      <c r="H23" t="inlineStr">
        <is>
          <t>TBD on first use; pick a weight that allows 8–12 reps with 1–2 reps in reserve on the final set.</t>
        </is>
      </c>
      <c r="I23" t="inlineStr">
        <is>
          <t>2-1-2</t>
        </is>
      </c>
      <c r="J23" t="inlineStr">
        <is>
          <t>45–60 s</t>
        </is>
      </c>
      <c r="K23" t="inlineStr">
        <is>
          <t>Posture, shoulder health</t>
        </is>
      </c>
    </row>
    <row r="24">
      <c r="A24" t="inlineStr">
        <is>
          <t>Friday</t>
        </is>
      </c>
      <c r="B24" t="inlineStr">
        <is>
          <t>B</t>
        </is>
      </c>
      <c r="C24" t="inlineStr">
        <is>
          <t>Core Trio</t>
        </is>
      </c>
      <c r="D24" t="inlineStr">
        <is>
          <t>Russian Twists + Hollow/Dead Bug + Suitcase Carry</t>
        </is>
      </c>
      <c r="E24" t="inlineStr">
        <is>
          <t>—</t>
        </is>
      </c>
      <c r="F24" t="inlineStr">
        <is>
          <t>3 rounds</t>
        </is>
      </c>
      <c r="G24" t="inlineStr">
        <is>
          <t>30 s each element</t>
        </is>
      </c>
      <c r="H24" t="inlineStr">
        <is>
          <t>Bodyweight or light DB for twists</t>
        </is>
      </c>
      <c r="I24" t="inlineStr">
        <is>
          <t>Controlled</t>
        </is>
      </c>
      <c r="J24" t="inlineStr">
        <is>
          <t>30–45 s between elements</t>
        </is>
      </c>
      <c r="K24" t="inlineStr">
        <is>
          <t>Bracing and anti-rotation focus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15" customWidth="1" style="15" min="2" max="2"/>
    <col width="16" customWidth="1" style="15" min="3" max="3"/>
    <col width="31" customWidth="1" style="15" min="4" max="4"/>
    <col width="45" customWidth="1" style="15" min="5" max="5"/>
  </cols>
  <sheetData>
    <row r="1">
      <c r="A1" t="inlineStr">
        <is>
          <t>Day</t>
        </is>
      </c>
      <c r="B1" t="inlineStr">
        <is>
          <t>Type</t>
        </is>
      </c>
      <c r="C1" t="inlineStr">
        <is>
          <t>Start Duration</t>
        </is>
      </c>
      <c r="D1" t="inlineStr">
        <is>
          <t>Structure</t>
        </is>
      </c>
      <c r="E1" t="inlineStr">
        <is>
          <t>Progression</t>
        </is>
      </c>
    </row>
    <row r="2">
      <c r="A2" t="inlineStr">
        <is>
          <t>Monday</t>
        </is>
      </c>
      <c r="B2" t="inlineStr">
        <is>
          <t>Speed intervals</t>
        </is>
      </c>
      <c r="C2" t="inlineStr">
        <is>
          <t>30 min</t>
        </is>
      </c>
      <c r="D2" t="inlineStr">
        <is>
          <t>3 min hard / 2 min easy repeats</t>
        </is>
      </c>
      <c r="E2" t="inlineStr">
        <is>
          <t>Add one repeat or slightly increase pace every 1–2 weeks</t>
        </is>
      </c>
    </row>
    <row r="3">
      <c r="A3" t="inlineStr">
        <is>
          <t>Wednesday</t>
        </is>
      </c>
      <c r="B3" t="inlineStr">
        <is>
          <t>Easy aerobic</t>
        </is>
      </c>
      <c r="C3" t="inlineStr">
        <is>
          <t>30 min</t>
        </is>
      </c>
      <c r="D3" t="inlineStr">
        <is>
          <t>Steady conversational pace</t>
        </is>
      </c>
      <c r="E3" t="inlineStr">
        <is>
          <t>Keep easy; do not progress for speed</t>
        </is>
      </c>
    </row>
    <row r="4">
      <c r="A4" t="inlineStr">
        <is>
          <t>Friday</t>
        </is>
      </c>
      <c r="B4" t="inlineStr">
        <is>
          <t>Long run</t>
        </is>
      </c>
      <c r="C4" t="inlineStr">
        <is>
          <t>30 min</t>
        </is>
      </c>
      <c r="D4" t="inlineStr">
        <is>
          <t>Steady</t>
        </is>
      </c>
      <c r="E4" t="inlineStr">
        <is>
          <t>When 30 min feels routine for 2 weeks, go to 45 min; later 60 min; keep 30 min strength after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18" customWidth="1" style="15" min="2" max="2"/>
  </cols>
  <sheetData>
    <row r="1">
      <c r="A1" t="inlineStr">
        <is>
          <t>Week</t>
        </is>
      </c>
      <c r="B1" t="inlineStr">
        <is>
          <t>Friday Long Run</t>
        </is>
      </c>
    </row>
    <row r="2">
      <c r="A2" t="n">
        <v>1</v>
      </c>
      <c r="B2" t="inlineStr">
        <is>
          <t>30 min</t>
        </is>
      </c>
    </row>
    <row r="3">
      <c r="A3" t="n">
        <v>2</v>
      </c>
      <c r="B3" t="inlineStr">
        <is>
          <t>30 min</t>
        </is>
      </c>
    </row>
    <row r="4">
      <c r="A4" t="n">
        <v>3</v>
      </c>
      <c r="B4" t="inlineStr">
        <is>
          <t>35 min</t>
        </is>
      </c>
    </row>
    <row r="5">
      <c r="A5" t="n">
        <v>4</v>
      </c>
      <c r="B5" t="inlineStr">
        <is>
          <t>40 min</t>
        </is>
      </c>
    </row>
    <row r="6">
      <c r="A6" t="n">
        <v>5</v>
      </c>
      <c r="B6" t="inlineStr">
        <is>
          <t>45 min</t>
        </is>
      </c>
    </row>
    <row r="7">
      <c r="A7" t="n">
        <v>6</v>
      </c>
      <c r="B7" t="inlineStr">
        <is>
          <t>35 min (cutback)</t>
        </is>
      </c>
    </row>
    <row r="8">
      <c r="A8" t="n">
        <v>7</v>
      </c>
      <c r="B8" t="inlineStr">
        <is>
          <t>45 min</t>
        </is>
      </c>
    </row>
    <row r="9">
      <c r="A9" t="n">
        <v>8</v>
      </c>
      <c r="B9" t="inlineStr">
        <is>
          <t>50 min</t>
        </is>
      </c>
    </row>
    <row r="10">
      <c r="A10" t="n">
        <v>9</v>
      </c>
      <c r="B10" t="inlineStr">
        <is>
          <t>55 min</t>
        </is>
      </c>
    </row>
    <row r="11">
      <c r="A11" t="n">
        <v>10</v>
      </c>
      <c r="B11" t="inlineStr">
        <is>
          <t>60 min</t>
        </is>
      </c>
    </row>
    <row r="12">
      <c r="A12" t="n">
        <v>11</v>
      </c>
      <c r="B12" t="inlineStr">
        <is>
          <t>45 min (cutback)</t>
        </is>
      </c>
    </row>
    <row r="13">
      <c r="A13" t="n">
        <v>12</v>
      </c>
      <c r="B13" t="inlineStr">
        <is>
          <t>60 min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12" customWidth="1" style="15" min="2" max="2"/>
    <col width="23" customWidth="1" style="15" min="3" max="3"/>
    <col width="10" customWidth="1" style="15" min="4" max="4"/>
    <col width="13" customWidth="1" style="15" min="5" max="5"/>
    <col width="25" customWidth="1" style="15" min="6" max="6"/>
    <col width="45" customWidth="1" style="15" min="7" max="7"/>
  </cols>
  <sheetData>
    <row r="1">
      <c r="A1" t="inlineStr">
        <is>
          <t>Day</t>
        </is>
      </c>
      <c r="B1" t="inlineStr">
        <is>
          <t>Discipline</t>
        </is>
      </c>
      <c r="C1" t="inlineStr">
        <is>
          <t>Session</t>
        </is>
      </c>
      <c r="D1" t="inlineStr">
        <is>
          <t>Duration</t>
        </is>
      </c>
      <c r="E1" t="inlineStr">
        <is>
          <t>Intensity</t>
        </is>
      </c>
      <c r="F1" t="inlineStr">
        <is>
          <t>Primary goal</t>
        </is>
      </c>
      <c r="G1" t="inlineStr">
        <is>
          <t>Notes</t>
        </is>
      </c>
    </row>
    <row r="2">
      <c r="A2" t="inlineStr">
        <is>
          <t>Monday</t>
        </is>
      </c>
      <c r="B2" t="inlineStr">
        <is>
          <t>Run</t>
        </is>
      </c>
      <c r="C2" t="inlineStr">
        <is>
          <t>Easy run</t>
        </is>
      </c>
      <c r="D2" t="inlineStr">
        <is>
          <t>30–45 min</t>
        </is>
      </c>
      <c r="E2" t="inlineStr">
        <is>
          <t>Easy (Zone 2)</t>
        </is>
      </c>
      <c r="F2" t="inlineStr">
        <is>
          <t>Aerobic base</t>
        </is>
      </c>
      <c r="G2" t="inlineStr">
        <is>
          <t>Keep easy; pair with Monday strength ok</t>
        </is>
      </c>
    </row>
    <row r="3">
      <c r="A3" t="inlineStr">
        <is>
          <t>Tuesday</t>
        </is>
      </c>
      <c r="B3" t="inlineStr">
        <is>
          <t>Bike</t>
        </is>
      </c>
      <c r="C3" t="inlineStr">
        <is>
          <t>Easy spin</t>
        </is>
      </c>
      <c r="D3" t="inlineStr">
        <is>
          <t>40–60 min</t>
        </is>
      </c>
      <c r="E3" t="inlineStr">
        <is>
          <t>Easy</t>
        </is>
      </c>
      <c r="F3" t="inlineStr">
        <is>
          <t>Aerobic base + recovery</t>
        </is>
      </c>
      <c r="G3" t="inlineStr">
        <is>
          <t>High cadence; avoid knee irritation</t>
        </is>
      </c>
    </row>
    <row r="4">
      <c r="A4" t="inlineStr">
        <is>
          <t>Wednesday</t>
        </is>
      </c>
      <c r="B4" t="inlineStr">
        <is>
          <t>Run</t>
        </is>
      </c>
      <c r="C4" t="inlineStr">
        <is>
          <t>Easy (or light strides)</t>
        </is>
      </c>
      <c r="D4" t="inlineStr">
        <is>
          <t>30–60 min</t>
        </is>
      </c>
      <c r="E4" t="inlineStr">
        <is>
          <t>Mostly easy</t>
        </is>
      </c>
      <c r="F4" t="inlineStr">
        <is>
          <t>Base + economy</t>
        </is>
      </c>
      <c r="G4" t="inlineStr">
        <is>
          <t>If adding strides: 6x20s relaxed</t>
        </is>
      </c>
    </row>
    <row r="5">
      <c r="A5" t="inlineStr">
        <is>
          <t>Thursday</t>
        </is>
      </c>
      <c r="B5" t="inlineStr">
        <is>
          <t>Swim</t>
        </is>
      </c>
      <c r="C5" t="inlineStr">
        <is>
          <t>Technique + easy</t>
        </is>
      </c>
      <c r="D5" t="inlineStr">
        <is>
          <t>30–45 min</t>
        </is>
      </c>
      <c r="E5" t="inlineStr">
        <is>
          <t>Easy</t>
        </is>
      </c>
      <c r="F5" t="inlineStr">
        <is>
          <t>Technique + aerobic</t>
        </is>
      </c>
      <c r="G5" t="inlineStr">
        <is>
          <t>Drills then easy continuous</t>
        </is>
      </c>
    </row>
    <row r="6">
      <c r="A6" t="inlineStr">
        <is>
          <t>Friday</t>
        </is>
      </c>
      <c r="B6" t="inlineStr">
        <is>
          <t>Bike</t>
        </is>
      </c>
      <c r="C6" t="inlineStr">
        <is>
          <t>Steady aerobic</t>
        </is>
      </c>
      <c r="D6" t="inlineStr">
        <is>
          <t>45–75 min</t>
        </is>
      </c>
      <c r="E6" t="inlineStr">
        <is>
          <t>Easy–moderate</t>
        </is>
      </c>
      <c r="F6" t="inlineStr">
        <is>
          <t>Aerobic base</t>
        </is>
      </c>
      <c r="G6" t="inlineStr">
        <is>
          <t>Do not turn into interval day weekly</t>
        </is>
      </c>
    </row>
    <row r="7">
      <c r="A7" t="inlineStr">
        <is>
          <t>Saturday</t>
        </is>
      </c>
      <c r="B7" t="inlineStr">
        <is>
          <t>Run</t>
        </is>
      </c>
      <c r="C7" t="inlineStr">
        <is>
          <t>Long easy</t>
        </is>
      </c>
      <c r="D7" t="inlineStr">
        <is>
          <t>45–90 min</t>
        </is>
      </c>
      <c r="E7" t="inlineStr">
        <is>
          <t>Easy</t>
        </is>
      </c>
      <c r="F7" t="inlineStr">
        <is>
          <t>Aerobic base + durability</t>
        </is>
      </c>
      <c r="G7" t="inlineStr">
        <is>
          <t>Build duration gradually</t>
        </is>
      </c>
    </row>
    <row r="8">
      <c r="A8" t="inlineStr">
        <is>
          <t>Sunday</t>
        </is>
      </c>
      <c r="B8" t="inlineStr">
        <is>
          <t>Swim</t>
        </is>
      </c>
      <c r="C8" t="inlineStr">
        <is>
          <t>Easy aerobic</t>
        </is>
      </c>
      <c r="D8" t="inlineStr">
        <is>
          <t>30–45 min</t>
        </is>
      </c>
      <c r="E8" t="inlineStr">
        <is>
          <t>Easy</t>
        </is>
      </c>
      <c r="F8" t="inlineStr">
        <is>
          <t>Aerobic base</t>
        </is>
      </c>
      <c r="G8" t="inlineStr">
        <is>
          <t>If shoulders cranky, reduce volume, improve form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43" customWidth="1" style="15" min="2" max="2"/>
    <col width="26" customWidth="1" style="15" min="3" max="3"/>
    <col width="42" customWidth="1" style="15" min="4" max="4"/>
  </cols>
  <sheetData>
    <row r="1">
      <c r="A1" t="inlineStr">
        <is>
          <t>Day</t>
        </is>
      </c>
      <c r="B1" t="inlineStr">
        <is>
          <t>Run</t>
        </is>
      </c>
      <c r="C1" t="inlineStr">
        <is>
          <t>Strength Focus</t>
        </is>
      </c>
      <c r="D1" t="inlineStr">
        <is>
          <t>Notes</t>
        </is>
      </c>
    </row>
    <row r="2">
      <c r="A2" t="inlineStr">
        <is>
          <t>Monday</t>
        </is>
      </c>
      <c r="B2" t="inlineStr">
        <is>
          <t>Speed intervals, 30 min</t>
        </is>
      </c>
      <c r="C2" t="inlineStr">
        <is>
          <t>Upper Push</t>
        </is>
      </c>
      <c r="D2" t="inlineStr">
        <is>
          <t>Run first, then lift</t>
        </is>
      </c>
    </row>
    <row r="3">
      <c r="A3" t="inlineStr">
        <is>
          <t>Tuesday</t>
        </is>
      </c>
      <c r="B3" t="inlineStr">
        <is>
          <t>None</t>
        </is>
      </c>
      <c r="C3" t="inlineStr">
        <is>
          <t>Legs (knee-dominant)</t>
        </is>
      </c>
      <c r="D3" t="inlineStr">
        <is>
          <t>Full 60 min strength</t>
        </is>
      </c>
    </row>
    <row r="4">
      <c r="A4" t="inlineStr">
        <is>
          <t>Wednesday</t>
        </is>
      </c>
      <c r="B4" t="inlineStr">
        <is>
          <t>Easy aerobic, 30 min</t>
        </is>
      </c>
      <c r="C4" t="inlineStr">
        <is>
          <t>Upper Pull</t>
        </is>
      </c>
      <c r="D4" t="inlineStr">
        <is>
          <t>Conversational pace</t>
        </is>
      </c>
    </row>
    <row r="5">
      <c r="A5" t="inlineStr">
        <is>
          <t>Thursday</t>
        </is>
      </c>
      <c r="B5" t="inlineStr">
        <is>
          <t>None</t>
        </is>
      </c>
      <c r="C5" t="inlineStr">
        <is>
          <t>Legs (hip-dominant)</t>
        </is>
      </c>
      <c r="D5" t="inlineStr">
        <is>
          <t>Full 60 min strength</t>
        </is>
      </c>
    </row>
    <row r="6">
      <c r="A6" t="inlineStr">
        <is>
          <t>Friday</t>
        </is>
      </c>
      <c r="B6" t="inlineStr">
        <is>
          <t>Long run, start 30 min then ramp to 45 → 60</t>
        </is>
      </c>
      <c r="C6" t="inlineStr">
        <is>
          <t>Torso, shoulders, and core</t>
        </is>
      </c>
      <c r="D6" t="inlineStr">
        <is>
          <t>Keep 30 min strength even as the run grows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0" customWidth="1" style="15" min="1" max="2"/>
    <col width="22" customWidth="1" style="15" min="3" max="3"/>
    <col width="45" customWidth="1" style="15" min="4" max="4"/>
    <col width="30" customWidth="1" style="15" min="5" max="5"/>
    <col width="10" customWidth="1" style="15" min="6" max="6"/>
    <col width="24" customWidth="1" style="15" min="7" max="7"/>
    <col width="45" customWidth="1" style="15" min="8" max="8"/>
    <col width="27" customWidth="1" style="15" min="9" max="9"/>
    <col width="24" customWidth="1" style="15" min="10" max="10"/>
    <col width="45" customWidth="1" style="15" min="11" max="11"/>
  </cols>
  <sheetData>
    <row r="1">
      <c r="A1" t="inlineStr">
        <is>
          <t>Day</t>
        </is>
      </c>
      <c r="B1" t="inlineStr">
        <is>
          <t>Block</t>
        </is>
      </c>
      <c r="C1" t="inlineStr">
        <is>
          <t>Exercise</t>
        </is>
      </c>
      <c r="D1" t="inlineStr">
        <is>
          <t>Machine/Primary Option</t>
        </is>
      </c>
      <c r="E1" t="inlineStr">
        <is>
          <t>DB/Alt Option</t>
        </is>
      </c>
      <c r="F1" t="inlineStr">
        <is>
          <t>Sets</t>
        </is>
      </c>
      <c r="G1" t="inlineStr">
        <is>
          <t>Reps Target</t>
        </is>
      </c>
      <c r="H1" t="inlineStr">
        <is>
          <t>Starting Load</t>
        </is>
      </c>
      <c r="I1" t="inlineStr">
        <is>
          <t>Tempo</t>
        </is>
      </c>
      <c r="J1" t="inlineStr">
        <is>
          <t>Rest</t>
        </is>
      </c>
      <c r="K1" t="inlineStr">
        <is>
          <t>Notes</t>
        </is>
      </c>
    </row>
    <row r="2">
      <c r="A2" t="inlineStr">
        <is>
          <t>Monday</t>
        </is>
      </c>
      <c r="B2" t="inlineStr">
        <is>
          <t>A</t>
        </is>
      </c>
      <c r="C2" t="inlineStr">
        <is>
          <t>Chest Press</t>
        </is>
      </c>
      <c r="D2" t="inlineStr">
        <is>
          <t>Technogym Chest Press</t>
        </is>
      </c>
      <c r="E2" t="inlineStr">
        <is>
          <t>DB Flat Press</t>
        </is>
      </c>
      <c r="F2" t="inlineStr">
        <is>
          <t>3</t>
        </is>
      </c>
      <c r="G2" t="inlineStr">
        <is>
          <t>8–12</t>
        </is>
      </c>
      <c r="H2" t="inlineStr">
        <is>
          <t>120 lb</t>
        </is>
      </c>
      <c r="I2" t="inlineStr">
        <is>
          <t>2-0-2</t>
        </is>
      </c>
      <c r="J2" t="inlineStr">
        <is>
          <t>60–90 s</t>
        </is>
      </c>
      <c r="K2" t="inlineStr">
        <is>
          <t>Add load when 3x12 done clean</t>
        </is>
      </c>
    </row>
    <row r="3">
      <c r="A3" t="inlineStr">
        <is>
          <t>Monday</t>
        </is>
      </c>
      <c r="B3" t="inlineStr">
        <is>
          <t>A</t>
        </is>
      </c>
      <c r="C3" t="inlineStr">
        <is>
          <t>Row (balance)</t>
        </is>
      </c>
      <c r="D3" t="inlineStr">
        <is>
          <t>Technogym Seated Row</t>
        </is>
      </c>
      <c r="E3" t="inlineStr">
        <is>
          <t>Chest-supported DB Row</t>
        </is>
      </c>
      <c r="F3" t="inlineStr">
        <is>
          <t>3</t>
        </is>
      </c>
      <c r="G3" t="inlineStr">
        <is>
          <t>8–12</t>
        </is>
      </c>
      <c r="H3" t="inlineStr">
        <is>
          <t>TBD on first use; pick a weight that allows 8–12 reps with 1–2 reps in reserve on the final set.</t>
        </is>
      </c>
      <c r="I3" t="inlineStr">
        <is>
          <t>2-1-2</t>
        </is>
      </c>
      <c r="J3" t="inlineStr">
        <is>
          <t>60–90 s</t>
        </is>
      </c>
      <c r="K3" t="inlineStr">
        <is>
          <t>Scapula toward back pockets</t>
        </is>
      </c>
    </row>
    <row r="4">
      <c r="A4" t="inlineStr">
        <is>
          <t>Monday</t>
        </is>
      </c>
      <c r="B4" t="inlineStr">
        <is>
          <t>B</t>
        </is>
      </c>
      <c r="C4" t="inlineStr">
        <is>
          <t>Incline Press</t>
        </is>
      </c>
      <c r="D4" t="inlineStr">
        <is>
          <t>Incline Press (if available)</t>
        </is>
      </c>
      <c r="E4" t="inlineStr">
        <is>
          <t>DB Incline Press</t>
        </is>
      </c>
      <c r="F4" t="inlineStr">
        <is>
          <t>3</t>
        </is>
      </c>
      <c r="G4" t="inlineStr">
        <is>
          <t>8–12</t>
        </is>
      </c>
      <c r="H4" t="inlineStr">
        <is>
          <t>TBD on first use; pick a weight that allows 8–12 reps with 1–2 reps in reserve on the final set.</t>
        </is>
      </c>
      <c r="I4" t="inlineStr">
        <is>
          <t>2-0-2</t>
        </is>
      </c>
      <c r="J4" t="inlineStr">
        <is>
          <t>60–90 s</t>
        </is>
      </c>
      <c r="K4" t="inlineStr">
        <is>
          <t>Low incline if shoulder sensitive</t>
        </is>
      </c>
    </row>
    <row r="5">
      <c r="A5" t="inlineStr">
        <is>
          <t>Monday</t>
        </is>
      </c>
      <c r="B5" t="inlineStr">
        <is>
          <t>B</t>
        </is>
      </c>
      <c r="C5" t="inlineStr">
        <is>
          <t>Face Pull / ER</t>
        </is>
      </c>
      <c r="D5" t="inlineStr">
        <is>
          <t>Cable Face Pull</t>
        </is>
      </c>
      <c r="E5" t="inlineStr">
        <is>
          <t>Band External Rotation</t>
        </is>
      </c>
      <c r="F5" t="inlineStr">
        <is>
          <t>3</t>
        </is>
      </c>
      <c r="G5" t="inlineStr">
        <is>
          <t>12–15</t>
        </is>
      </c>
      <c r="H5" t="inlineStr">
        <is>
          <t>TBD on first use; pick a weight that allows 8–12 reps with 1–2 reps in reserve on the final set.</t>
        </is>
      </c>
      <c r="I5" t="inlineStr">
        <is>
          <t>2-1-2</t>
        </is>
      </c>
      <c r="J5" t="inlineStr">
        <is>
          <t>45–60 s</t>
        </is>
      </c>
      <c r="K5" t="inlineStr">
        <is>
          <t>Elbows high, hit rear delts/rotator cuff</t>
        </is>
      </c>
    </row>
    <row r="6">
      <c r="A6" t="inlineStr">
        <is>
          <t>Monday</t>
        </is>
      </c>
      <c r="B6" t="inlineStr">
        <is>
          <t>C</t>
        </is>
      </c>
      <c r="C6" t="inlineStr">
        <is>
          <t>Shoulder Press</t>
        </is>
      </c>
      <c r="D6" t="inlineStr">
        <is>
          <t>Technogym Shoulder Press</t>
        </is>
      </c>
      <c r="E6" t="inlineStr">
        <is>
          <t>DB Shoulder Press</t>
        </is>
      </c>
      <c r="F6" t="inlineStr">
        <is>
          <t>2</t>
        </is>
      </c>
      <c r="G6" t="inlineStr">
        <is>
          <t>8–12</t>
        </is>
      </c>
      <c r="H6" t="inlineStr">
        <is>
          <t>TBD on first use; pick a weight that allows 8–12 reps with 1–2 reps in reserve on the final set.</t>
        </is>
      </c>
      <c r="I6" t="inlineStr">
        <is>
          <t>2-0-2</t>
        </is>
      </c>
      <c r="J6" t="inlineStr">
        <is>
          <t>60 s</t>
        </is>
      </c>
      <c r="K6" t="inlineStr">
        <is>
          <t>Neutral grip if neck or shoulders feel tight</t>
        </is>
      </c>
    </row>
    <row r="7">
      <c r="A7" t="inlineStr">
        <is>
          <t>Monday</t>
        </is>
      </c>
      <c r="B7" t="inlineStr">
        <is>
          <t>C</t>
        </is>
      </c>
      <c r="C7" t="inlineStr">
        <is>
          <t>Triceps Overhead</t>
        </is>
      </c>
      <c r="D7" t="inlineStr">
        <is>
          <t>Cable Overhead Extension</t>
        </is>
      </c>
      <c r="E7" t="inlineStr">
        <is>
          <t>DB Overhead Triceps</t>
        </is>
      </c>
      <c r="F7" t="inlineStr">
        <is>
          <t>2</t>
        </is>
      </c>
      <c r="G7" t="inlineStr">
        <is>
          <t>8–12</t>
        </is>
      </c>
      <c r="H7" t="inlineStr">
        <is>
          <t>30 lb DB</t>
        </is>
      </c>
      <c r="I7" t="inlineStr">
        <is>
          <t>2-0-2</t>
        </is>
      </c>
      <c r="J7" t="inlineStr">
        <is>
          <t>45–60 s</t>
        </is>
      </c>
      <c r="K7" t="inlineStr">
        <is>
          <t>Smooth lockout</t>
        </is>
      </c>
    </row>
    <row r="8">
      <c r="A8" t="inlineStr">
        <is>
          <t>Tuesday</t>
        </is>
      </c>
      <c r="B8" t="inlineStr">
        <is>
          <t>A</t>
        </is>
      </c>
      <c r="C8" t="inlineStr">
        <is>
          <t>Leg Press or Squat</t>
        </is>
      </c>
      <c r="D8" t="inlineStr">
        <is>
          <t>Technogym Leg Press</t>
        </is>
      </c>
      <c r="E8" t="inlineStr">
        <is>
          <t>Goblet Squat</t>
        </is>
      </c>
      <c r="F8" t="inlineStr">
        <is>
          <t>3</t>
        </is>
      </c>
      <c r="G8" t="inlineStr">
        <is>
          <t>8–12</t>
        </is>
      </c>
      <c r="H8" t="inlineStr">
        <is>
          <t>25 lb DB for goblet</t>
        </is>
      </c>
      <c r="I8" t="inlineStr">
        <is>
          <t>2-1-2</t>
        </is>
      </c>
      <c r="J8" t="inlineStr">
        <is>
          <t>60–90 s</t>
        </is>
      </c>
      <c r="K8" t="inlineStr">
        <is>
          <t>Heels down, full range</t>
        </is>
      </c>
    </row>
    <row r="9">
      <c r="A9" t="inlineStr">
        <is>
          <t>Tuesday</t>
        </is>
      </c>
      <c r="B9" t="inlineStr">
        <is>
          <t>A</t>
        </is>
      </c>
      <c r="C9" t="inlineStr">
        <is>
          <t>Calf Raise (bent-knee)</t>
        </is>
      </c>
      <c r="D9" t="inlineStr">
        <is>
          <t>Seated Calf Raise</t>
        </is>
      </c>
      <c r="E9" t="inlineStr">
        <is>
          <t>DB Seated Calf</t>
        </is>
      </c>
      <c r="F9" t="inlineStr">
        <is>
          <t>3</t>
        </is>
      </c>
      <c r="G9" t="inlineStr">
        <is>
          <t>10–15</t>
        </is>
      </c>
      <c r="H9" t="inlineStr">
        <is>
          <t>TBD on first use; pick a weight that allows 8–12 reps with 1–2 reps in reserve on the final set.</t>
        </is>
      </c>
      <c r="I9" t="inlineStr">
        <is>
          <t>2-1-2</t>
        </is>
      </c>
      <c r="J9" t="inlineStr">
        <is>
          <t>45–60 s</t>
        </is>
      </c>
      <c r="K9" t="inlineStr">
        <is>
          <t>Targets soleus for running resilience</t>
        </is>
      </c>
    </row>
    <row r="10">
      <c r="A10" t="inlineStr">
        <is>
          <t>Tuesday</t>
        </is>
      </c>
      <c r="B10" t="inlineStr">
        <is>
          <t>B</t>
        </is>
      </c>
      <c r="C10" t="inlineStr">
        <is>
          <t>Split Squat / Lunge</t>
        </is>
      </c>
      <c r="D10" t="inlineStr">
        <is>
          <t>Smith Split Squat (optional)</t>
        </is>
      </c>
      <c r="E10" t="inlineStr">
        <is>
          <t>DB Split Squat</t>
        </is>
      </c>
      <c r="F10" t="inlineStr">
        <is>
          <t>3</t>
        </is>
      </c>
      <c r="G10" t="inlineStr">
        <is>
          <t>8–12/leg</t>
        </is>
      </c>
      <c r="H10" t="inlineStr">
        <is>
          <t>TBD on first use; pick a weight that allows 8–12 reps with 1–2 reps in reserve on the final set.</t>
        </is>
      </c>
      <c r="I10" t="inlineStr">
        <is>
          <t>2-1-2</t>
        </is>
      </c>
      <c r="J10" t="inlineStr">
        <is>
          <t>60–90 s</t>
        </is>
      </c>
      <c r="K10" t="inlineStr">
        <is>
          <t>Knee travels over toes comfortably</t>
        </is>
      </c>
    </row>
    <row r="11">
      <c r="A11" t="inlineStr">
        <is>
          <t>Tuesday</t>
        </is>
      </c>
      <c r="B11" t="inlineStr">
        <is>
          <t>B</t>
        </is>
      </c>
      <c r="C11" t="inlineStr">
        <is>
          <t>Leg Extension</t>
        </is>
      </c>
      <c r="D11" t="inlineStr">
        <is>
          <t>Technogym Leg Extension</t>
        </is>
      </c>
      <c r="E11" t="inlineStr">
        <is>
          <t>—</t>
        </is>
      </c>
      <c r="F11" t="inlineStr">
        <is>
          <t>3</t>
        </is>
      </c>
      <c r="G11" t="inlineStr">
        <is>
          <t>10–12</t>
        </is>
      </c>
      <c r="H11" t="inlineStr">
        <is>
          <t>100 lb</t>
        </is>
      </c>
      <c r="I11" t="inlineStr">
        <is>
          <t>2-1-2</t>
        </is>
      </c>
      <c r="J11" t="inlineStr">
        <is>
          <t>45–60 s</t>
        </is>
      </c>
      <c r="K11" t="inlineStr">
        <is>
          <t>Control the top, do not slam</t>
        </is>
      </c>
    </row>
    <row r="12">
      <c r="A12" t="inlineStr">
        <is>
          <t>Tuesday</t>
        </is>
      </c>
      <c r="B12" t="inlineStr">
        <is>
          <t>Finisher</t>
        </is>
      </c>
      <c r="C12" t="inlineStr">
        <is>
          <t>Core + Swings</t>
        </is>
      </c>
      <c r="D12" t="inlineStr">
        <is>
          <t>Leg Raises / Hanging or Bench</t>
        </is>
      </c>
      <c r="E12" t="inlineStr">
        <is>
          <t>KB Swing</t>
        </is>
      </c>
      <c r="F12" t="inlineStr">
        <is>
          <t>3 + 2</t>
        </is>
      </c>
      <c r="G12" t="inlineStr">
        <is>
          <t>3 x 15–20; 10–15 swings</t>
        </is>
      </c>
      <c r="H12" t="inlineStr">
        <is>
          <t>Bodyweight; 15 lb KB</t>
        </is>
      </c>
      <c r="I12" t="inlineStr">
        <is>
          <t>Controlled; explosive hinge</t>
        </is>
      </c>
      <c r="J12" t="inlineStr">
        <is>
          <t>30–45 s</t>
        </is>
      </c>
      <c r="K12" t="inlineStr">
        <is>
          <t>Match night reps; keep swings crisp</t>
        </is>
      </c>
    </row>
    <row r="13">
      <c r="A13" t="inlineStr">
        <is>
          <t>Wednesday</t>
        </is>
      </c>
      <c r="B13" t="inlineStr">
        <is>
          <t>A</t>
        </is>
      </c>
      <c r="C13" t="inlineStr">
        <is>
          <t>Assisted Pull-up</t>
        </is>
      </c>
      <c r="D13" t="inlineStr">
        <is>
          <t>Assisted Chin/Dip</t>
        </is>
      </c>
      <c r="E13" t="inlineStr">
        <is>
          <t>Neutral-Grip Pulldown</t>
        </is>
      </c>
      <c r="F13" t="inlineStr">
        <is>
          <t>3</t>
        </is>
      </c>
      <c r="G13" t="inlineStr">
        <is>
          <t>6–10</t>
        </is>
      </c>
      <c r="H13" t="inlineStr">
        <is>
          <t>Set1: assist 85 lb x10; Set2: assist 45 lb x7; Set3: assist 45 lb x6</t>
        </is>
      </c>
      <c r="I13" t="inlineStr">
        <is>
          <t>2-1-2</t>
        </is>
      </c>
      <c r="J13" t="inlineStr">
        <is>
          <t>90 s</t>
        </is>
      </c>
      <c r="K13" t="inlineStr">
        <is>
          <t>Progress by reducing assist when you hit 3x8+</t>
        </is>
      </c>
    </row>
    <row r="14">
      <c r="A14" t="inlineStr">
        <is>
          <t>Wednesday</t>
        </is>
      </c>
      <c r="B14" t="inlineStr">
        <is>
          <t>A</t>
        </is>
      </c>
      <c r="C14" t="inlineStr">
        <is>
          <t>Pulldown / Row</t>
        </is>
      </c>
      <c r="D14" t="inlineStr">
        <is>
          <t>Technogym Lat Pulldown</t>
        </is>
      </c>
      <c r="E14" t="inlineStr">
        <is>
          <t>Single-Arm Cable Row</t>
        </is>
      </c>
      <c r="F14" t="inlineStr">
        <is>
          <t>3</t>
        </is>
      </c>
      <c r="G14" t="inlineStr">
        <is>
          <t>8–12</t>
        </is>
      </c>
      <c r="H14" t="inlineStr">
        <is>
          <t>TBD on first use; pick a weight that allows 8–12 reps with 1–2 reps in reserve on the final set.</t>
        </is>
      </c>
      <c r="I14" t="inlineStr">
        <is>
          <t>2-1-2</t>
        </is>
      </c>
      <c r="J14" t="inlineStr">
        <is>
          <t>60–90 s</t>
        </is>
      </c>
      <c r="K14" t="inlineStr">
        <is>
          <t>Chest up, elbows to ribs</t>
        </is>
      </c>
    </row>
    <row r="15">
      <c r="A15" t="inlineStr">
        <is>
          <t>Wednesday</t>
        </is>
      </c>
      <c r="B15" t="inlineStr">
        <is>
          <t>B</t>
        </is>
      </c>
      <c r="C15" t="inlineStr">
        <is>
          <t>Rear Delt Fly</t>
        </is>
      </c>
      <c r="D15" t="inlineStr">
        <is>
          <t>Reverse Pec Deck</t>
        </is>
      </c>
      <c r="E15" t="inlineStr">
        <is>
          <t>DB Reverse Fly (incline bench)</t>
        </is>
      </c>
      <c r="F15" t="inlineStr">
        <is>
          <t>2–3</t>
        </is>
      </c>
      <c r="G15" t="inlineStr">
        <is>
          <t>12–15</t>
        </is>
      </c>
      <c r="H15" t="inlineStr">
        <is>
          <t>TBD on first use; pick a weight that allows 8–12 reps with 1–2 reps in reserve on the final set.</t>
        </is>
      </c>
      <c r="I15" t="inlineStr">
        <is>
          <t>2-1-2</t>
        </is>
      </c>
      <c r="J15" t="inlineStr">
        <is>
          <t>45–60 s</t>
        </is>
      </c>
      <c r="K15" t="inlineStr">
        <is>
          <t>Light, perfect control</t>
        </is>
      </c>
    </row>
    <row r="16">
      <c r="A16" t="inlineStr">
        <is>
          <t>Wednesday</t>
        </is>
      </c>
      <c r="B16" t="inlineStr">
        <is>
          <t>B</t>
        </is>
      </c>
      <c r="C16" t="inlineStr">
        <is>
          <t>Biceps Curl</t>
        </is>
      </c>
      <c r="D16" t="inlineStr">
        <is>
          <t>Cable EZ Curl</t>
        </is>
      </c>
      <c r="E16" t="inlineStr">
        <is>
          <t>DB Curl</t>
        </is>
      </c>
      <c r="F16" t="inlineStr">
        <is>
          <t>3</t>
        </is>
      </c>
      <c r="G16" t="inlineStr">
        <is>
          <t>8–12</t>
        </is>
      </c>
      <c r="H16" t="inlineStr">
        <is>
          <t>TBD on first use; pick a weight that allows 8–12 reps with 1–2 reps in reserve on the final set.</t>
        </is>
      </c>
      <c r="I16" t="inlineStr">
        <is>
          <t>2-0-2</t>
        </is>
      </c>
      <c r="J16" t="inlineStr">
        <is>
          <t>45–60 s</t>
        </is>
      </c>
      <c r="K16" t="inlineStr">
        <is>
          <t>No sway, full elbow extension</t>
        </is>
      </c>
    </row>
    <row r="17">
      <c r="A17" t="inlineStr">
        <is>
          <t>Thursday</t>
        </is>
      </c>
      <c r="B17" t="inlineStr">
        <is>
          <t>A</t>
        </is>
      </c>
      <c r="C17" t="inlineStr">
        <is>
          <t>Romanian Deadlift</t>
        </is>
      </c>
      <c r="D17" t="inlineStr">
        <is>
          <t>Smith RDL (optional)</t>
        </is>
      </c>
      <c r="E17" t="inlineStr">
        <is>
          <t>DB RDL</t>
        </is>
      </c>
      <c r="F17" t="inlineStr">
        <is>
          <t>3</t>
        </is>
      </c>
      <c r="G17" t="inlineStr">
        <is>
          <t>8–12</t>
        </is>
      </c>
      <c r="H17" t="inlineStr">
        <is>
          <t>TBD on first use; pick a weight that allows 8–12 reps with 1–2 reps in reserve on the final set.</t>
        </is>
      </c>
      <c r="I17" t="inlineStr">
        <is>
          <t>3-1-2</t>
        </is>
      </c>
      <c r="J17" t="inlineStr">
        <is>
          <t>60–90 s</t>
        </is>
      </c>
      <c r="K17" t="inlineStr">
        <is>
          <t>Hinge, flat back, hamstrings loaded</t>
        </is>
      </c>
    </row>
    <row r="18">
      <c r="A18" t="inlineStr">
        <is>
          <t>Thursday</t>
        </is>
      </c>
      <c r="B18" t="inlineStr">
        <is>
          <t>A</t>
        </is>
      </c>
      <c r="C18" t="inlineStr">
        <is>
          <t>Hamstring Curl</t>
        </is>
      </c>
      <c r="D18" t="inlineStr">
        <is>
          <t>Seated/Lying Leg Curl</t>
        </is>
      </c>
      <c r="E18" t="inlineStr">
        <is>
          <t>Swiss Ball Ham Curl</t>
        </is>
      </c>
      <c r="F18" t="inlineStr">
        <is>
          <t>3</t>
        </is>
      </c>
      <c r="G18" t="inlineStr">
        <is>
          <t>10–12</t>
        </is>
      </c>
      <c r="H18" t="inlineStr">
        <is>
          <t>TBD on first use; pick a weight that allows 8–12 reps with 1–2 reps in reserve on the final set.</t>
        </is>
      </c>
      <c r="I18" t="inlineStr">
        <is>
          <t>3-0-2</t>
        </is>
      </c>
      <c r="J18" t="inlineStr">
        <is>
          <t>60–90 s</t>
        </is>
      </c>
      <c r="K18" t="inlineStr">
        <is>
          <t>Slow eccentric</t>
        </is>
      </c>
    </row>
    <row r="19">
      <c r="A19" t="inlineStr">
        <is>
          <t>Thursday</t>
        </is>
      </c>
      <c r="B19" t="inlineStr">
        <is>
          <t>B</t>
        </is>
      </c>
      <c r="C19" t="inlineStr">
        <is>
          <t>Hip Thrust / Bridge</t>
        </is>
      </c>
      <c r="D19" t="inlineStr">
        <is>
          <t>Hip Thrust Machine / Smith</t>
        </is>
      </c>
      <c r="E19" t="inlineStr">
        <is>
          <t>Barbell/DB Glute Bridge</t>
        </is>
      </c>
      <c r="F19" t="inlineStr">
        <is>
          <t>3</t>
        </is>
      </c>
      <c r="G19" t="inlineStr">
        <is>
          <t>8–12</t>
        </is>
      </c>
      <c r="H19" t="inlineStr">
        <is>
          <t>TBD on first use; pick a weight that allows 8–12 reps with 1–2 reps in reserve on the final set.</t>
        </is>
      </c>
      <c r="I19" t="inlineStr">
        <is>
          <t>2-1-2</t>
        </is>
      </c>
      <c r="J19" t="inlineStr">
        <is>
          <t>60–90 s</t>
        </is>
      </c>
      <c r="K19" t="inlineStr">
        <is>
          <t>Pause at top, ribs down</t>
        </is>
      </c>
    </row>
    <row r="20">
      <c r="A20" t="inlineStr">
        <is>
          <t>Thursday</t>
        </is>
      </c>
      <c r="B20" t="inlineStr">
        <is>
          <t>B</t>
        </is>
      </c>
      <c r="C20" t="inlineStr">
        <is>
          <t>Lateral Hip / Calf</t>
        </is>
      </c>
      <c r="D20" t="inlineStr">
        <is>
          <t>Hip Abductor + Eccentric Calf</t>
        </is>
      </c>
      <c r="E20" t="inlineStr">
        <is>
          <t>Banded Lateral Steps + DB Calf</t>
        </is>
      </c>
      <c r="F20" t="inlineStr">
        <is>
          <t>2 + 2</t>
        </is>
      </c>
      <c r="G20" t="inlineStr">
        <is>
          <t>12–15; 10–12 slow lowers</t>
        </is>
      </c>
      <c r="H20" t="inlineStr">
        <is>
          <t>TBD on first use; pick a weight that allows 8–12 reps with 1–2 reps in reserve on the final set.</t>
        </is>
      </c>
      <c r="I20" t="inlineStr">
        <is>
          <t>Controlled</t>
        </is>
      </c>
      <c r="J20" t="inlineStr">
        <is>
          <t>45–60 s</t>
        </is>
      </c>
      <c r="K20" t="inlineStr">
        <is>
          <t>Protect knees and Achilles</t>
        </is>
      </c>
    </row>
    <row r="21">
      <c r="A21" t="inlineStr">
        <is>
          <t>Friday</t>
        </is>
      </c>
      <c r="B21" t="inlineStr">
        <is>
          <t>A</t>
        </is>
      </c>
      <c r="C21" t="inlineStr">
        <is>
          <t>Shoulder Press (light)</t>
        </is>
      </c>
      <c r="D21" t="inlineStr">
        <is>
          <t>Technogym Shoulder Press</t>
        </is>
      </c>
      <c r="E21" t="inlineStr">
        <is>
          <t>DB Shoulder Press</t>
        </is>
      </c>
      <c r="F21" t="inlineStr">
        <is>
          <t>2</t>
        </is>
      </c>
      <c r="G21" t="inlineStr">
        <is>
          <t>8–12</t>
        </is>
      </c>
      <c r="H21" t="inlineStr">
        <is>
          <t>TBD on first use; pick a weight that allows 8–12 reps with 1–2 reps in reserve on the final set.</t>
        </is>
      </c>
      <c r="I21" t="inlineStr">
        <is>
          <t>2-0-2</t>
        </is>
      </c>
      <c r="J21" t="inlineStr">
        <is>
          <t>45–60 s</t>
        </is>
      </c>
      <c r="K21" t="inlineStr">
        <is>
          <t>Keep it easy after long run</t>
        </is>
      </c>
    </row>
    <row r="22">
      <c r="A22" t="inlineStr">
        <is>
          <t>Friday</t>
        </is>
      </c>
      <c r="B22" t="inlineStr">
        <is>
          <t>A</t>
        </is>
      </c>
      <c r="C22" t="inlineStr">
        <is>
          <t>Pec Fly or Cable Fly</t>
        </is>
      </c>
      <c r="D22" t="inlineStr">
        <is>
          <t>Pec Deck / Cable Fly</t>
        </is>
      </c>
      <c r="E22" t="inlineStr">
        <is>
          <t>DB Fly (light)</t>
        </is>
      </c>
      <c r="F22" t="inlineStr">
        <is>
          <t>2</t>
        </is>
      </c>
      <c r="G22" t="inlineStr">
        <is>
          <t>10–12</t>
        </is>
      </c>
      <c r="H22" t="inlineStr">
        <is>
          <t>TBD on first use; pick a weight that allows 8–12 reps with 1–2 reps in reserve on the final set.</t>
        </is>
      </c>
      <c r="I22" t="inlineStr">
        <is>
          <t>2-1-2</t>
        </is>
      </c>
      <c r="J22" t="inlineStr">
        <is>
          <t>45–60 s</t>
        </is>
      </c>
      <c r="K22" t="inlineStr">
        <is>
          <t>Short ROM, chest activation</t>
        </is>
      </c>
    </row>
    <row r="23">
      <c r="A23" t="inlineStr">
        <is>
          <t>Friday</t>
        </is>
      </c>
      <c r="B23" t="inlineStr">
        <is>
          <t>B</t>
        </is>
      </c>
      <c r="C23" t="inlineStr">
        <is>
          <t>Light Row / Face Pull</t>
        </is>
      </c>
      <c r="D23" t="inlineStr">
        <is>
          <t>Cable Row / Face Pull</t>
        </is>
      </c>
      <c r="E23" t="inlineStr">
        <is>
          <t>Band Row</t>
        </is>
      </c>
      <c r="F23" t="inlineStr">
        <is>
          <t>2</t>
        </is>
      </c>
      <c r="G23" t="inlineStr">
        <is>
          <t>12–15</t>
        </is>
      </c>
      <c r="H23" t="inlineStr">
        <is>
          <t>TBD on first use; pick a weight that allows 8–12 reps with 1–2 reps in reserve on the final set.</t>
        </is>
      </c>
      <c r="I23" t="inlineStr">
        <is>
          <t>2-1-2</t>
        </is>
      </c>
      <c r="J23" t="inlineStr">
        <is>
          <t>45–60 s</t>
        </is>
      </c>
      <c r="K23" t="inlineStr">
        <is>
          <t>Posture, shoulder health</t>
        </is>
      </c>
    </row>
    <row r="24">
      <c r="A24" t="inlineStr">
        <is>
          <t>Friday</t>
        </is>
      </c>
      <c r="B24" t="inlineStr">
        <is>
          <t>B</t>
        </is>
      </c>
      <c r="C24" t="inlineStr">
        <is>
          <t>Core Trio</t>
        </is>
      </c>
      <c r="D24" t="inlineStr">
        <is>
          <t>Russian Twists + Hollow/Dead Bug + Suitcase Carry</t>
        </is>
      </c>
      <c r="E24" t="inlineStr">
        <is>
          <t>—</t>
        </is>
      </c>
      <c r="F24" t="inlineStr">
        <is>
          <t>3 rounds</t>
        </is>
      </c>
      <c r="G24" t="inlineStr">
        <is>
          <t>30 s each element</t>
        </is>
      </c>
      <c r="H24" t="inlineStr">
        <is>
          <t>Bodyweight or light DB for twists</t>
        </is>
      </c>
      <c r="I24" t="inlineStr">
        <is>
          <t>Controlled</t>
        </is>
      </c>
      <c r="J24" t="inlineStr">
        <is>
          <t>30–45 s between elements</t>
        </is>
      </c>
      <c r="K24" t="inlineStr">
        <is>
          <t>Bracing and anti-rotation focus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15" customWidth="1" style="15" min="2" max="2"/>
    <col width="16" customWidth="1" style="15" min="3" max="3"/>
    <col width="31" customWidth="1" style="15" min="4" max="4"/>
    <col width="45" customWidth="1" style="15" min="5" max="5"/>
  </cols>
  <sheetData>
    <row r="1">
      <c r="A1" t="inlineStr">
        <is>
          <t>Day</t>
        </is>
      </c>
      <c r="B1" t="inlineStr">
        <is>
          <t>Type</t>
        </is>
      </c>
      <c r="C1" t="inlineStr">
        <is>
          <t>Start Duration</t>
        </is>
      </c>
      <c r="D1" t="inlineStr">
        <is>
          <t>Structure</t>
        </is>
      </c>
      <c r="E1" t="inlineStr">
        <is>
          <t>Progression</t>
        </is>
      </c>
    </row>
    <row r="2">
      <c r="A2" t="inlineStr">
        <is>
          <t>Monday</t>
        </is>
      </c>
      <c r="B2" t="inlineStr">
        <is>
          <t>Speed intervals</t>
        </is>
      </c>
      <c r="C2" t="inlineStr">
        <is>
          <t>30 min</t>
        </is>
      </c>
      <c r="D2" t="inlineStr">
        <is>
          <t>3 min hard / 2 min easy repeats</t>
        </is>
      </c>
      <c r="E2" t="inlineStr">
        <is>
          <t>Add one repeat or slightly increase pace every 1–2 weeks</t>
        </is>
      </c>
    </row>
    <row r="3">
      <c r="A3" t="inlineStr">
        <is>
          <t>Wednesday</t>
        </is>
      </c>
      <c r="B3" t="inlineStr">
        <is>
          <t>Easy aerobic</t>
        </is>
      </c>
      <c r="C3" t="inlineStr">
        <is>
          <t>30 min</t>
        </is>
      </c>
      <c r="D3" t="inlineStr">
        <is>
          <t>Steady conversational pace</t>
        </is>
      </c>
      <c r="E3" t="inlineStr">
        <is>
          <t>Keep easy; do not progress for speed</t>
        </is>
      </c>
    </row>
    <row r="4">
      <c r="A4" t="inlineStr">
        <is>
          <t>Friday</t>
        </is>
      </c>
      <c r="B4" t="inlineStr">
        <is>
          <t>Long run</t>
        </is>
      </c>
      <c r="C4" t="inlineStr">
        <is>
          <t>30 min</t>
        </is>
      </c>
      <c r="D4" t="inlineStr">
        <is>
          <t>Steady</t>
        </is>
      </c>
      <c r="E4" t="inlineStr">
        <is>
          <t>When 30 min feels routine for 2 weeks, go to 45 min; later 60 min; keep 30 min strength after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18" customWidth="1" style="15" min="2" max="2"/>
  </cols>
  <sheetData>
    <row r="1">
      <c r="A1" t="inlineStr">
        <is>
          <t>Week</t>
        </is>
      </c>
      <c r="B1" t="inlineStr">
        <is>
          <t>Friday Long Run</t>
        </is>
      </c>
    </row>
    <row r="2">
      <c r="A2" t="n">
        <v>1</v>
      </c>
      <c r="B2" t="inlineStr">
        <is>
          <t>30 min</t>
        </is>
      </c>
    </row>
    <row r="3">
      <c r="A3" t="n">
        <v>2</v>
      </c>
      <c r="B3" t="inlineStr">
        <is>
          <t>30 min</t>
        </is>
      </c>
    </row>
    <row r="4">
      <c r="A4" t="n">
        <v>3</v>
      </c>
      <c r="B4" t="inlineStr">
        <is>
          <t>35 min</t>
        </is>
      </c>
    </row>
    <row r="5">
      <c r="A5" t="n">
        <v>4</v>
      </c>
      <c r="B5" t="inlineStr">
        <is>
          <t>40 min</t>
        </is>
      </c>
    </row>
    <row r="6">
      <c r="A6" t="n">
        <v>5</v>
      </c>
      <c r="B6" t="inlineStr">
        <is>
          <t>45 min</t>
        </is>
      </c>
    </row>
    <row r="7">
      <c r="A7" t="n">
        <v>6</v>
      </c>
      <c r="B7" t="inlineStr">
        <is>
          <t>35 min (cutback)</t>
        </is>
      </c>
    </row>
    <row r="8">
      <c r="A8" t="n">
        <v>7</v>
      </c>
      <c r="B8" t="inlineStr">
        <is>
          <t>45 min</t>
        </is>
      </c>
    </row>
    <row r="9">
      <c r="A9" t="n">
        <v>8</v>
      </c>
      <c r="B9" t="inlineStr">
        <is>
          <t>50 min</t>
        </is>
      </c>
    </row>
    <row r="10">
      <c r="A10" t="n">
        <v>9</v>
      </c>
      <c r="B10" t="inlineStr">
        <is>
          <t>55 min</t>
        </is>
      </c>
    </row>
    <row r="11">
      <c r="A11" t="n">
        <v>10</v>
      </c>
      <c r="B11" t="inlineStr">
        <is>
          <t>60 min</t>
        </is>
      </c>
    </row>
    <row r="12">
      <c r="A12" t="n">
        <v>11</v>
      </c>
      <c r="B12" t="inlineStr">
        <is>
          <t>45 min (cutback)</t>
        </is>
      </c>
    </row>
    <row r="13">
      <c r="A13" t="n">
        <v>12</v>
      </c>
      <c r="B13" t="inlineStr">
        <is>
          <t>60 min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style="15" min="1" max="1"/>
    <col width="45" customWidth="1" style="15" min="2" max="3"/>
  </cols>
  <sheetData>
    <row r="1">
      <c r="A1" t="inlineStr">
        <is>
          <t>sheet</t>
        </is>
      </c>
      <c r="B1" t="inlineStr">
        <is>
          <t>source_file</t>
        </is>
      </c>
      <c r="C1" t="inlineStr">
        <is>
          <t>notes</t>
        </is>
      </c>
    </row>
    <row r="2">
      <c r="A2" t="inlineStr">
        <is>
          <t>Body_Weight_Log_raw</t>
        </is>
      </c>
      <c r="B2" t="inlineStr">
        <is>
          <t>weight_measurements_extracted.csv</t>
        </is>
      </c>
      <c r="C2" t="inlineStr">
        <is>
          <t>All raw weigh-ins extracted; may include multiple measurements per day.</t>
        </is>
      </c>
    </row>
    <row r="3">
      <c r="A3" t="inlineStr">
        <is>
          <t>Body_Weight_Daily</t>
        </is>
      </c>
      <c r="B3" t="inlineStr">
        <is>
          <t>weight_measurements_extracted.csv</t>
        </is>
      </c>
      <c r="C3" t="inlineStr">
        <is>
          <t>Daily mean/min/max + count derived from raw weigh-ins.</t>
        </is>
      </c>
    </row>
    <row r="4">
      <c r="A4" t="inlineStr">
        <is>
          <t>DEXA_Summary</t>
        </is>
      </c>
      <c r="B4" t="inlineStr">
        <is>
          <t>Andres_Fitness_Journey_Master.xlsx</t>
        </is>
      </c>
      <c r="C4" t="inlineStr">
        <is>
          <t>Existing structured summary (already curated).</t>
        </is>
      </c>
    </row>
    <row r="5">
      <c r="A5" t="inlineStr">
        <is>
          <t>DEXA_OCR_Parsed</t>
        </is>
      </c>
      <c r="B5" t="inlineStr">
        <is>
          <t>AGVG_DexaScan Sept 25.pdf; DEXA 11 25.pdf; dexas scan 16 01 26.pdf</t>
        </is>
      </c>
      <c r="C5" t="inlineStr">
        <is>
          <t>OCR-derived; some fields inferred or corrected (e.g., Aug 2025 total mass OCR drop).</t>
        </is>
      </c>
    </row>
    <row r="6">
      <c r="A6" t="inlineStr">
        <is>
          <t>SnoreLab_By_Remedy/Factor/Combined</t>
        </is>
      </c>
      <c r="B6" t="inlineStr">
        <is>
          <t>SnoreLab Remedies and Factors 08-Feb-2026.csv</t>
        </is>
      </c>
      <c r="C6" t="inlineStr">
        <is>
          <t>Exact app export; grouped averages only (no per-night dates).</t>
        </is>
      </c>
    </row>
    <row r="7">
      <c r="A7" t="inlineStr">
        <is>
          <t>SnoreLab_Reports_Manual</t>
        </is>
      </c>
      <c r="B7" t="inlineStr">
        <is>
          <t>IMG_3868.jpeg; IMG_3870.jpeg</t>
        </is>
      </c>
      <c r="C7" t="inlineStr">
        <is>
          <t>Manual transcription of visible entries in screenshots only (not complete history).</t>
        </is>
      </c>
    </row>
    <row r="8">
      <c r="A8" t="inlineStr">
        <is>
          <t>Strength_Tests</t>
        </is>
      </c>
      <c r="B8" t="inlineStr">
        <is>
          <t>Andres_Fitness_Journey_Master.xlsx</t>
        </is>
      </c>
      <c r="C8" t="inlineStr">
        <is>
          <t>From chat-stated strength test numbers (single-set performance).</t>
        </is>
      </c>
    </row>
    <row r="9">
      <c r="A9" t="inlineStr">
        <is>
          <t>Strength_Test_OCR</t>
        </is>
      </c>
      <c r="B9" t="inlineStr">
        <is>
          <t>Strength Testing Results.png</t>
        </is>
      </c>
      <c r="C9" t="inlineStr">
        <is>
          <t>OCR captured only chest press and leg press values; table in image appears cropped.</t>
        </is>
      </c>
    </row>
    <row r="10">
      <c r="A10" t="inlineStr">
        <is>
          <t>Program_*</t>
        </is>
      </c>
      <c r="B10" t="inlineStr">
        <is>
          <t>Andres_YMCA_Mon-Sun_Updated.xlsx; Andres_YMCA_5day_program_UPDATED_2025-11-05_corefixed_TU_legraises.xlsx</t>
        </is>
      </c>
      <c r="C10" t="inlineStr">
        <is>
          <t>Program tables imported as flat tables; formatting simplified.</t>
        </is>
      </c>
    </row>
    <row r="11">
      <c r="A11" t="inlineStr">
        <is>
          <t>DEXA_DerivedMetrics</t>
        </is>
      </c>
      <c r="B11" t="inlineStr">
        <is>
          <t>Derived DEXA metrics per scan date (appendicular lean, limb/trunk fat ratios, lean:fat, VAT, deltas vs prior scan). Source: DEXA_Regions + DEXA_Indices + Android/Gynoid from comparison workbook.</t>
        </is>
      </c>
    </row>
    <row r="12">
      <c r="A12" t="inlineStr">
        <is>
          <t>SnoreLab_Nightly</t>
        </is>
      </c>
      <c r="B12" t="inlineStr">
        <is>
          <t>Nightly SnoreLab exports (date, snore score, snoring time, breathflow) from snore tracking data.xlsx. Includes optional same-day weight match from weight_measurements_extracted.csv when available.</t>
        </is>
      </c>
    </row>
    <row r="14">
      <c r="A14" t="inlineStr">
        <is>
          <t>Nutrition_Log</t>
        </is>
      </c>
      <c r="B14" t="inlineStr">
        <is>
          <t>Manual nutrition entries. Enter one row per meal/snack. Date should match your local date.</t>
        </is>
      </c>
    </row>
    <row r="15">
      <c r="A15" t="inlineStr">
        <is>
          <t>Nutrition_Daily</t>
        </is>
      </c>
      <c r="B15" t="inlineStr">
        <is>
          <t>Auto-aggregated per-day totals from Nutrition_Log. Used by Dashboard.</t>
        </is>
      </c>
    </row>
    <row r="16">
      <c r="A16" t="inlineStr">
        <is>
          <t>Injury_Log</t>
        </is>
      </c>
      <c r="B16" t="inlineStr">
        <is>
          <t>Manual injury entries. One row per injury episode. Use end_date when resolved.</t>
        </is>
      </c>
    </row>
    <row r="17">
      <c r="A17" t="inlineStr">
        <is>
          <t>Injury_Daily</t>
        </is>
      </c>
      <c r="B17" t="inlineStr">
        <is>
          <t>Auto-derived daily injury status from Injury_Log. Used by Dashboard.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date</t>
        </is>
      </c>
      <c r="B1" t="inlineStr">
        <is>
          <t>Total mass (kg)</t>
        </is>
      </c>
      <c r="C1" t="inlineStr">
        <is>
          <t>Total fat (kg)</t>
        </is>
      </c>
      <c r="D1" t="inlineStr">
        <is>
          <t>Total lean (kg)</t>
        </is>
      </c>
      <c r="E1" t="inlineStr">
        <is>
          <t>Lean+BMC (kg)</t>
        </is>
      </c>
      <c r="F1" t="inlineStr">
        <is>
          <t>BMC (kg)</t>
        </is>
      </c>
      <c r="G1" t="inlineStr">
        <is>
          <t>Total %fat</t>
        </is>
      </c>
      <c r="H1" t="inlineStr">
        <is>
          <t>Arm lean (kg)</t>
        </is>
      </c>
      <c r="I1" t="inlineStr">
        <is>
          <t>Leg lean (kg)</t>
        </is>
      </c>
      <c r="J1" t="inlineStr">
        <is>
          <t>Appendicular lean (kg)</t>
        </is>
      </c>
      <c r="K1" t="inlineStr">
        <is>
          <t>Trunk lean (kg)</t>
        </is>
      </c>
      <c r="L1" t="inlineStr">
        <is>
          <t>Arm fat (kg)</t>
        </is>
      </c>
      <c r="M1" t="inlineStr">
        <is>
          <t>Leg fat (kg)</t>
        </is>
      </c>
      <c r="N1" t="inlineStr">
        <is>
          <t>Trunk fat (kg)</t>
        </is>
      </c>
      <c r="O1" t="inlineStr">
        <is>
          <t>Android fat (kg)</t>
        </is>
      </c>
      <c r="P1" t="inlineStr">
        <is>
          <t>Gynoid fat (kg)</t>
        </is>
      </c>
      <c r="Q1" t="inlineStr">
        <is>
          <t>Trunk/Leg fat (ratio)</t>
        </is>
      </c>
      <c r="R1" t="inlineStr">
        <is>
          <t>Trunk/(Arm+Leg) fat (ratio)</t>
        </is>
      </c>
      <c r="S1" t="inlineStr">
        <is>
          <t>Android/Gynoid fat (ratio)_x</t>
        </is>
      </c>
      <c r="T1" t="inlineStr">
        <is>
          <t>Lean/Fat (ratio)</t>
        </is>
      </c>
      <c r="U1" t="inlineStr">
        <is>
          <t>Appendicular/Total lean (ratio)</t>
        </is>
      </c>
      <c r="V1" t="inlineStr">
        <is>
          <t>FMI (kg/m^2)</t>
        </is>
      </c>
      <c r="W1" t="inlineStr">
        <is>
          <t>Lean/ht^2 (kg/m^2)</t>
        </is>
      </c>
      <c r="X1" t="inlineStr">
        <is>
          <t>ALM/ht^2 (kg/m^2)</t>
        </is>
      </c>
      <c r="Y1" t="inlineStr">
        <is>
          <t>A/G ratio (index)</t>
        </is>
      </c>
      <c r="Z1" t="inlineStr">
        <is>
          <t>VAT mass (g)</t>
        </is>
      </c>
      <c r="AA1" t="inlineStr">
        <is>
          <t>VAT volume (cm^3)</t>
        </is>
      </c>
      <c r="AB1" t="inlineStr">
        <is>
          <t>VAT area (cm^2)</t>
        </is>
      </c>
      <c r="AC1" t="inlineStr">
        <is>
          <t>Android (A)</t>
        </is>
      </c>
      <c r="AD1" t="inlineStr">
        <is>
          <t>Gynoid (G)</t>
        </is>
      </c>
      <c r="AE1" t="inlineStr">
        <is>
          <t>Android/Gynoid fat (ratio)</t>
        </is>
      </c>
      <c r="AF1" t="inlineStr">
        <is>
          <t>ΔTotal mass (kg) (vs prev)</t>
        </is>
      </c>
      <c r="AG1" t="inlineStr">
        <is>
          <t>ΔTotal fat (kg) (vs prev)</t>
        </is>
      </c>
      <c r="AH1" t="inlineStr">
        <is>
          <t>ΔTotal lean (kg) (vs prev)</t>
        </is>
      </c>
      <c r="AI1" t="inlineStr">
        <is>
          <t>ΔAppendicular lean (kg) (vs prev)</t>
        </is>
      </c>
      <c r="AJ1" t="inlineStr">
        <is>
          <t>ΔLeg lean (kg) (vs prev)</t>
        </is>
      </c>
      <c r="AK1" t="inlineStr">
        <is>
          <t>ΔArm lean (kg) (vs prev)</t>
        </is>
      </c>
      <c r="AL1" t="inlineStr">
        <is>
          <t>ΔTrunk fat (kg) (vs prev)</t>
        </is>
      </c>
      <c r="AM1" t="inlineStr">
        <is>
          <t>ΔVAT mass (g) (vs prev)</t>
        </is>
      </c>
      <c r="AN1" t="inlineStr">
        <is>
          <t>ΔFMI (kg/m^2) (vs prev)</t>
        </is>
      </c>
      <c r="AO1" t="inlineStr">
        <is>
          <t>ΔALM/ht^2 (kg/m^2) (vs prev)</t>
        </is>
      </c>
    </row>
    <row r="2">
      <c r="A2" s="5" t="n">
        <v>45895</v>
      </c>
      <c r="B2" t="n">
        <v>78.90339999999999</v>
      </c>
      <c r="C2" t="n">
        <v>26.7279</v>
      </c>
      <c r="D2" t="n">
        <v>49.7845</v>
      </c>
      <c r="E2" t="n">
        <v>52.1755</v>
      </c>
      <c r="F2" t="n">
        <v>2.39097</v>
      </c>
      <c r="G2" t="n">
        <v>33.9</v>
      </c>
      <c r="H2" t="n">
        <v>5.8384</v>
      </c>
      <c r="I2" t="n">
        <v>15.7203</v>
      </c>
      <c r="J2" t="n">
        <v>21.5587</v>
      </c>
      <c r="K2" t="n">
        <v>24.8582</v>
      </c>
      <c r="L2" t="n">
        <v>3.3317</v>
      </c>
      <c r="M2" t="n">
        <v>7.9785</v>
      </c>
      <c r="N2" t="n">
        <v>14.0422</v>
      </c>
      <c r="Q2" t="n">
        <v>1.76000501347371</v>
      </c>
      <c r="R2" t="n">
        <v>1.241551873530088</v>
      </c>
      <c r="T2" t="n">
        <v>1.862641659090314</v>
      </c>
      <c r="U2" t="n">
        <v>0.4330404041418514</v>
      </c>
      <c r="V2" t="n">
        <v>9.23</v>
      </c>
      <c r="W2" t="n">
        <v>17.2</v>
      </c>
      <c r="X2" t="n">
        <v>7.44</v>
      </c>
      <c r="Y2" t="n">
        <v>1.21</v>
      </c>
      <c r="Z2" t="n">
        <v>745</v>
      </c>
      <c r="AA2" t="n">
        <v>806</v>
      </c>
      <c r="AB2" t="n">
        <v>135</v>
      </c>
      <c r="AC2" t="n">
        <v>2.438</v>
      </c>
      <c r="AD2" t="n">
        <v>4.128</v>
      </c>
      <c r="AE2" t="n">
        <v>0.5906007751937985</v>
      </c>
    </row>
    <row r="3">
      <c r="A3" s="5" t="n">
        <v>45980</v>
      </c>
      <c r="B3" t="n">
        <v>75.4739</v>
      </c>
      <c r="C3" t="n">
        <v>23.6693</v>
      </c>
      <c r="D3" t="n">
        <v>49.4696</v>
      </c>
      <c r="E3" t="n">
        <v>51.8046</v>
      </c>
      <c r="F3" t="n">
        <v>2.33497</v>
      </c>
      <c r="G3" t="n">
        <v>31.4</v>
      </c>
      <c r="H3" t="n">
        <v>5.9996</v>
      </c>
      <c r="I3" t="n">
        <v>15.6036</v>
      </c>
      <c r="J3" t="n">
        <v>21.6032</v>
      </c>
      <c r="K3" t="n">
        <v>24.5371</v>
      </c>
      <c r="L3" t="n">
        <v>2.9205</v>
      </c>
      <c r="M3" t="n">
        <v>7.2007</v>
      </c>
      <c r="N3" t="n">
        <v>12.1993</v>
      </c>
      <c r="Q3" t="n">
        <v>1.694182510033746</v>
      </c>
      <c r="R3" t="n">
        <v>1.205321503379046</v>
      </c>
      <c r="T3" t="n">
        <v>2.090032235849814</v>
      </c>
      <c r="U3" t="n">
        <v>0.436696476219739</v>
      </c>
      <c r="V3" t="n">
        <v>8.17</v>
      </c>
      <c r="W3" t="n">
        <v>17.1</v>
      </c>
      <c r="X3" t="n">
        <v>7.46</v>
      </c>
      <c r="Y3" t="n">
        <v>1.09</v>
      </c>
      <c r="Z3" t="n">
        <v>580</v>
      </c>
      <c r="AA3" t="n">
        <v>627</v>
      </c>
      <c r="AB3" t="n">
        <v>120</v>
      </c>
      <c r="AC3" t="n">
        <v>1.757</v>
      </c>
      <c r="AD3" t="n">
        <v>3.453</v>
      </c>
      <c r="AE3" t="n">
        <v>0.5088328989284679</v>
      </c>
      <c r="AF3" t="n">
        <v>-3.42949999999999</v>
      </c>
      <c r="AG3" t="n">
        <v>-3.058600000000002</v>
      </c>
      <c r="AH3" t="n">
        <v>-0.3149000000000015</v>
      </c>
      <c r="AI3" t="n">
        <v>0.04449999999999932</v>
      </c>
      <c r="AJ3" t="n">
        <v>-0.1166999999999998</v>
      </c>
      <c r="AK3" t="n">
        <v>0.1612</v>
      </c>
      <c r="AL3" t="n">
        <v>-1.8429</v>
      </c>
      <c r="AM3" t="n">
        <v>-165</v>
      </c>
      <c r="AN3" t="n">
        <v>-1.06</v>
      </c>
      <c r="AO3" t="n">
        <v>0.01999999999999957</v>
      </c>
    </row>
    <row r="4">
      <c r="A4" s="5" t="n">
        <v>46036</v>
      </c>
      <c r="B4" t="n">
        <v>73.07239999999999</v>
      </c>
      <c r="C4" t="n">
        <v>21.7641</v>
      </c>
      <c r="D4" t="n">
        <v>48.939</v>
      </c>
      <c r="E4" t="n">
        <v>51.3083</v>
      </c>
      <c r="F4" t="n">
        <v>2.36926</v>
      </c>
      <c r="G4" t="n">
        <v>29.8</v>
      </c>
      <c r="H4" t="n">
        <v>5.9423</v>
      </c>
      <c r="I4" t="n">
        <v>15.4028</v>
      </c>
      <c r="J4" t="n">
        <v>21.3451</v>
      </c>
      <c r="K4" t="n">
        <v>24.2963</v>
      </c>
      <c r="L4" t="n">
        <v>2.6673</v>
      </c>
      <c r="M4" t="n">
        <v>6.755000000000001</v>
      </c>
      <c r="N4" t="n">
        <v>11.0041</v>
      </c>
      <c r="Q4" t="n">
        <v>1.629030347890451</v>
      </c>
      <c r="R4" t="n">
        <v>1.167878331193021</v>
      </c>
      <c r="T4" t="n">
        <v>2.248611245123851</v>
      </c>
      <c r="U4" t="n">
        <v>0.4361572569933999</v>
      </c>
      <c r="V4" t="n">
        <v>7.51</v>
      </c>
      <c r="W4" t="n">
        <v>16.9</v>
      </c>
      <c r="X4" t="n">
        <v>7.37</v>
      </c>
      <c r="Y4" t="n">
        <v>1.15</v>
      </c>
      <c r="Z4" t="n">
        <v>652</v>
      </c>
      <c r="AA4" t="n">
        <v>705</v>
      </c>
      <c r="AB4" t="n">
        <v>135</v>
      </c>
      <c r="AC4" t="n">
        <v>1.604</v>
      </c>
      <c r="AD4" t="n">
        <v>2.828</v>
      </c>
      <c r="AE4" t="n">
        <v>0.5671852899575672</v>
      </c>
      <c r="AF4" t="n">
        <v>-2.401500000000013</v>
      </c>
      <c r="AG4" t="n">
        <v>-1.905200000000001</v>
      </c>
      <c r="AH4" t="n">
        <v>-0.5305999999999997</v>
      </c>
      <c r="AI4" t="n">
        <v>-0.2581000000000024</v>
      </c>
      <c r="AJ4" t="n">
        <v>-0.200800000000001</v>
      </c>
      <c r="AK4" t="n">
        <v>-0.05729999999999968</v>
      </c>
      <c r="AL4" t="n">
        <v>-1.1952</v>
      </c>
      <c r="AM4" t="n">
        <v>72</v>
      </c>
      <c r="AN4" t="n">
        <v>-0.6600000000000001</v>
      </c>
      <c r="AO4" t="n">
        <v>-0.08999999999999986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 of Week</t>
        </is>
      </c>
      <c r="C1" t="inlineStr">
        <is>
          <t>Bedtime</t>
        </is>
      </c>
      <c r="D1" t="inlineStr">
        <is>
          <t>Wake Time</t>
        </is>
      </c>
      <c r="E1" t="inlineStr">
        <is>
          <t>Time in Bed (Hours)</t>
        </is>
      </c>
      <c r="F1" t="inlineStr">
        <is>
          <t>Time in Bed (Minutes)</t>
        </is>
      </c>
      <c r="G1" t="inlineStr">
        <is>
          <t>Total Time in Bed (Decimal Hours)</t>
        </is>
      </c>
      <c r="H1" t="inlineStr">
        <is>
          <t>Time Snoring (Hours)</t>
        </is>
      </c>
      <c r="I1" t="inlineStr">
        <is>
          <t>Time Snoring (Minutes)</t>
        </is>
      </c>
      <c r="J1" t="inlineStr">
        <is>
          <t>Total Time Snoring (Decimal Hours)</t>
        </is>
      </c>
      <c r="K1" t="inlineStr">
        <is>
          <t>Snoring Percentage</t>
        </is>
      </c>
      <c r="L1" t="inlineStr">
        <is>
          <t>Snore Score</t>
        </is>
      </c>
      <c r="M1" t="inlineStr">
        <is>
          <t>BreathFlow %</t>
        </is>
      </c>
      <c r="N1" t="inlineStr">
        <is>
          <t>BreathFlow Stability</t>
        </is>
      </c>
      <c r="O1" t="inlineStr">
        <is>
          <t>Weight (lb, same-day if available)</t>
        </is>
      </c>
      <c r="P1" t="inlineStr">
        <is>
          <t>Data source file</t>
        </is>
      </c>
    </row>
    <row r="2">
      <c r="A2" s="5" t="n">
        <v>44101</v>
      </c>
      <c r="B2" t="inlineStr">
        <is>
          <t>Sunday</t>
        </is>
      </c>
      <c r="C2" t="inlineStr">
        <is>
          <t>00:13</t>
        </is>
      </c>
      <c r="D2" t="inlineStr">
        <is>
          <t>07:33</t>
        </is>
      </c>
      <c r="E2" t="n">
        <v>7</v>
      </c>
      <c r="F2" t="n">
        <v>19</v>
      </c>
      <c r="G2" t="n">
        <v>7.316666666666666</v>
      </c>
      <c r="H2" t="n">
        <v>5</v>
      </c>
      <c r="I2" t="n">
        <v>6</v>
      </c>
      <c r="J2" t="n">
        <v>5.1</v>
      </c>
      <c r="K2" t="n">
        <v>72</v>
      </c>
      <c r="L2" t="n">
        <v>75</v>
      </c>
      <c r="P2" t="inlineStr">
        <is>
          <t>snore tracking data.xlsx</t>
        </is>
      </c>
    </row>
    <row r="3">
      <c r="A3" s="5" t="n">
        <v>44102</v>
      </c>
      <c r="B3" t="inlineStr">
        <is>
          <t>Monday</t>
        </is>
      </c>
      <c r="C3" t="inlineStr">
        <is>
          <t>01:38</t>
        </is>
      </c>
      <c r="D3" t="inlineStr">
        <is>
          <t>07:06</t>
        </is>
      </c>
      <c r="E3" t="n">
        <v>5</v>
      </c>
      <c r="F3" t="n">
        <v>28</v>
      </c>
      <c r="G3" t="n">
        <v>5.466666666666667</v>
      </c>
      <c r="H3" t="n">
        <v>3</v>
      </c>
      <c r="I3" t="n">
        <v>42</v>
      </c>
      <c r="J3" t="n">
        <v>3.7</v>
      </c>
      <c r="K3" t="n">
        <v>71</v>
      </c>
      <c r="L3" t="n">
        <v>78</v>
      </c>
      <c r="P3" t="inlineStr">
        <is>
          <t>snore tracking data.xlsx</t>
        </is>
      </c>
    </row>
    <row r="4">
      <c r="A4" s="5" t="n">
        <v>44103</v>
      </c>
      <c r="B4" t="inlineStr">
        <is>
          <t>Tuesday</t>
        </is>
      </c>
      <c r="C4" t="inlineStr">
        <is>
          <t>00:49</t>
        </is>
      </c>
      <c r="D4" t="inlineStr">
        <is>
          <t>06:17</t>
        </is>
      </c>
      <c r="E4" t="n">
        <v>5</v>
      </c>
      <c r="F4" t="n">
        <v>28</v>
      </c>
      <c r="G4" t="n">
        <v>5.466666666666667</v>
      </c>
      <c r="H4" t="n">
        <v>4</v>
      </c>
      <c r="I4" t="n">
        <v>4</v>
      </c>
      <c r="J4" t="n">
        <v>4.066666666666666</v>
      </c>
      <c r="K4" t="n">
        <v>78</v>
      </c>
      <c r="L4" t="n">
        <v>116</v>
      </c>
      <c r="P4" t="inlineStr">
        <is>
          <t>snore tracking data.xlsx</t>
        </is>
      </c>
    </row>
    <row r="5">
      <c r="A5" s="5" t="n">
        <v>44104</v>
      </c>
      <c r="B5" t="inlineStr">
        <is>
          <t>Wednesday</t>
        </is>
      </c>
      <c r="C5" t="inlineStr">
        <is>
          <t>01:28</t>
        </is>
      </c>
      <c r="D5" t="inlineStr">
        <is>
          <t>07:23</t>
        </is>
      </c>
      <c r="E5" t="n">
        <v>5</v>
      </c>
      <c r="F5" t="n">
        <v>54</v>
      </c>
      <c r="G5" t="n">
        <v>5.9</v>
      </c>
      <c r="H5" t="n">
        <v>3</v>
      </c>
      <c r="I5" t="n">
        <v>45</v>
      </c>
      <c r="J5" t="n">
        <v>3.75</v>
      </c>
      <c r="K5" t="n">
        <v>67</v>
      </c>
      <c r="L5" t="n">
        <v>86</v>
      </c>
      <c r="P5" t="inlineStr">
        <is>
          <t>snore tracking data.xlsx</t>
        </is>
      </c>
    </row>
    <row r="6">
      <c r="A6" s="5" t="n">
        <v>44105</v>
      </c>
      <c r="B6" t="inlineStr">
        <is>
          <t>Thursday</t>
        </is>
      </c>
      <c r="C6" t="inlineStr">
        <is>
          <t>00:51</t>
        </is>
      </c>
      <c r="D6" t="inlineStr">
        <is>
          <t>07:36</t>
        </is>
      </c>
      <c r="E6" t="n">
        <v>6</v>
      </c>
      <c r="F6" t="n">
        <v>44</v>
      </c>
      <c r="G6" t="n">
        <v>6.733333333333333</v>
      </c>
      <c r="H6" t="n">
        <v>4</v>
      </c>
      <c r="I6" t="n">
        <v>12</v>
      </c>
      <c r="J6" t="n">
        <v>4.2</v>
      </c>
      <c r="K6" t="n">
        <v>65</v>
      </c>
      <c r="L6" t="n">
        <v>81</v>
      </c>
      <c r="P6" t="inlineStr">
        <is>
          <t>snore tracking data.xlsx</t>
        </is>
      </c>
    </row>
    <row r="7">
      <c r="A7" s="5" t="n">
        <v>44106</v>
      </c>
      <c r="B7" t="inlineStr">
        <is>
          <t>Friday</t>
        </is>
      </c>
      <c r="C7" t="inlineStr">
        <is>
          <t>01:08</t>
        </is>
      </c>
      <c r="D7" t="inlineStr">
        <is>
          <t>07:08</t>
        </is>
      </c>
      <c r="E7" t="n">
        <v>5</v>
      </c>
      <c r="F7" t="n">
        <v>59</v>
      </c>
      <c r="G7" t="n">
        <v>5.983333333333333</v>
      </c>
      <c r="H7" t="n">
        <v>2</v>
      </c>
      <c r="I7" t="n">
        <v>40</v>
      </c>
      <c r="J7" t="n">
        <v>2.666666666666667</v>
      </c>
      <c r="K7" t="n">
        <v>47</v>
      </c>
      <c r="L7" t="n">
        <v>46</v>
      </c>
      <c r="P7" t="inlineStr">
        <is>
          <t>snore tracking data.xlsx</t>
        </is>
      </c>
    </row>
    <row r="8">
      <c r="A8" s="5" t="n">
        <v>44107</v>
      </c>
      <c r="B8" t="inlineStr">
        <is>
          <t>Saturday</t>
        </is>
      </c>
      <c r="C8" t="inlineStr">
        <is>
          <t>01:57</t>
        </is>
      </c>
      <c r="D8" t="inlineStr">
        <is>
          <t>07:49</t>
        </is>
      </c>
      <c r="E8" t="n">
        <v>5</v>
      </c>
      <c r="F8" t="n">
        <v>52</v>
      </c>
      <c r="G8" t="n">
        <v>5.866666666666667</v>
      </c>
      <c r="H8" t="n">
        <v>4</v>
      </c>
      <c r="I8" t="n">
        <v>6</v>
      </c>
      <c r="J8" t="n">
        <v>4.1</v>
      </c>
      <c r="K8" t="n">
        <v>74</v>
      </c>
      <c r="L8" t="n">
        <v>100</v>
      </c>
      <c r="P8" t="inlineStr">
        <is>
          <t>snore tracking data.xlsx</t>
        </is>
      </c>
    </row>
    <row r="9">
      <c r="A9" s="5" t="n">
        <v>44109</v>
      </c>
      <c r="B9" t="inlineStr">
        <is>
          <t>Monday</t>
        </is>
      </c>
      <c r="C9" t="inlineStr">
        <is>
          <t>00:41</t>
        </is>
      </c>
      <c r="D9" t="inlineStr">
        <is>
          <t>07:38</t>
        </is>
      </c>
      <c r="E9" t="n">
        <v>6</v>
      </c>
      <c r="F9" t="n">
        <v>56</v>
      </c>
      <c r="G9" t="n">
        <v>6.933333333333334</v>
      </c>
      <c r="H9" t="n">
        <v>3</v>
      </c>
      <c r="I9" t="n">
        <v>46</v>
      </c>
      <c r="J9" t="n">
        <v>3.766666666666667</v>
      </c>
      <c r="K9" t="n">
        <v>57</v>
      </c>
      <c r="L9" t="n">
        <v>58</v>
      </c>
      <c r="P9" t="inlineStr">
        <is>
          <t>snore tracking data.xlsx</t>
        </is>
      </c>
    </row>
    <row r="10">
      <c r="A10" s="5" t="n">
        <v>44111</v>
      </c>
      <c r="B10" t="inlineStr">
        <is>
          <t>Wednesday</t>
        </is>
      </c>
      <c r="C10" t="inlineStr">
        <is>
          <t>00:51</t>
        </is>
      </c>
      <c r="D10" t="inlineStr">
        <is>
          <t>07:50</t>
        </is>
      </c>
      <c r="E10" t="n">
        <v>6</v>
      </c>
      <c r="F10" t="n">
        <v>59</v>
      </c>
      <c r="G10" t="n">
        <v>6.983333333333333</v>
      </c>
      <c r="H10" t="n">
        <v>4</v>
      </c>
      <c r="I10" t="n">
        <v>22</v>
      </c>
      <c r="J10" t="n">
        <v>4.366666666666666</v>
      </c>
      <c r="K10" t="n">
        <v>65</v>
      </c>
      <c r="L10" t="n">
        <v>76</v>
      </c>
      <c r="P10" t="inlineStr">
        <is>
          <t>snore tracking data.xlsx</t>
        </is>
      </c>
    </row>
    <row r="11">
      <c r="A11" s="5" t="n">
        <v>45978</v>
      </c>
      <c r="B11" t="inlineStr">
        <is>
          <t>Monday</t>
        </is>
      </c>
      <c r="C11" t="inlineStr">
        <is>
          <t>01:53</t>
        </is>
      </c>
      <c r="D11" t="inlineStr">
        <is>
          <t>04:19</t>
        </is>
      </c>
      <c r="E11" t="n">
        <v>2</v>
      </c>
      <c r="F11" t="n">
        <v>25</v>
      </c>
      <c r="G11" t="n">
        <v>2.416666666666667</v>
      </c>
      <c r="H11" t="n">
        <v>1</v>
      </c>
      <c r="I11" t="n">
        <v>7</v>
      </c>
      <c r="J11" t="n">
        <v>1.116666666666667</v>
      </c>
      <c r="K11" t="n">
        <v>52</v>
      </c>
      <c r="L11" t="n">
        <v>27</v>
      </c>
      <c r="M11" t="n">
        <v>92</v>
      </c>
      <c r="N11" t="inlineStr">
        <is>
          <t>Stable</t>
        </is>
      </c>
      <c r="O11" t="n">
        <v>169.9</v>
      </c>
      <c r="P11" t="inlineStr">
        <is>
          <t>snore tracking data.xlsx</t>
        </is>
      </c>
    </row>
    <row r="12">
      <c r="A12" s="5" t="n">
        <v>45985</v>
      </c>
      <c r="B12" t="inlineStr">
        <is>
          <t>Monday</t>
        </is>
      </c>
      <c r="C12" t="inlineStr">
        <is>
          <t>22:41</t>
        </is>
      </c>
      <c r="D12" t="inlineStr">
        <is>
          <t>04:40</t>
        </is>
      </c>
      <c r="E12" t="n">
        <v>5</v>
      </c>
      <c r="F12" t="n">
        <v>59</v>
      </c>
      <c r="G12" t="n">
        <v>5.983333333333333</v>
      </c>
      <c r="H12" t="n">
        <v>2</v>
      </c>
      <c r="I12" t="n">
        <v>11</v>
      </c>
      <c r="J12" t="n">
        <v>2.183333333333333</v>
      </c>
      <c r="K12" t="n">
        <v>38</v>
      </c>
      <c r="L12" t="n">
        <v>53</v>
      </c>
      <c r="M12" t="n">
        <v>100</v>
      </c>
      <c r="N12" t="inlineStr">
        <is>
          <t>Stable</t>
        </is>
      </c>
      <c r="P12" t="inlineStr">
        <is>
          <t>snore tracking data.xlsx</t>
        </is>
      </c>
    </row>
    <row r="13">
      <c r="A13" s="5" t="n">
        <v>46055</v>
      </c>
      <c r="B13" t="inlineStr">
        <is>
          <t>Monday</t>
        </is>
      </c>
      <c r="C13" t="inlineStr">
        <is>
          <t>21:32</t>
        </is>
      </c>
      <c r="D13" t="inlineStr">
        <is>
          <t>04:56</t>
        </is>
      </c>
      <c r="E13" t="n">
        <v>7</v>
      </c>
      <c r="F13" t="n">
        <v>23</v>
      </c>
      <c r="G13" t="n">
        <v>7.383333333333334</v>
      </c>
      <c r="H13" t="n">
        <v>0</v>
      </c>
      <c r="I13" t="n">
        <v>11</v>
      </c>
      <c r="J13" t="n">
        <v>0.1833333333333333</v>
      </c>
      <c r="K13" t="n">
        <v>3</v>
      </c>
      <c r="L13" t="n">
        <v>4</v>
      </c>
      <c r="M13" t="n">
        <v>98</v>
      </c>
      <c r="N13" t="inlineStr">
        <is>
          <t>Stable</t>
        </is>
      </c>
      <c r="P13" t="inlineStr">
        <is>
          <t>snore tracking data.xlsx</t>
        </is>
      </c>
    </row>
    <row r="14">
      <c r="A14" s="5" t="n">
        <v>46060</v>
      </c>
      <c r="B14" t="inlineStr">
        <is>
          <t>Saturday</t>
        </is>
      </c>
      <c r="C14" t="inlineStr">
        <is>
          <t>22:07</t>
        </is>
      </c>
      <c r="D14" t="inlineStr">
        <is>
          <t>05:15</t>
        </is>
      </c>
      <c r="E14" t="n">
        <v>7</v>
      </c>
      <c r="F14" t="n">
        <v>8</v>
      </c>
      <c r="G14" t="n">
        <v>7.133333333333334</v>
      </c>
      <c r="H14" t="n">
        <v>0</v>
      </c>
      <c r="I14" t="n">
        <v>35</v>
      </c>
      <c r="J14" t="n">
        <v>0.5833333333333334</v>
      </c>
      <c r="K14" t="n">
        <v>9</v>
      </c>
      <c r="L14" t="n">
        <v>14</v>
      </c>
      <c r="M14" t="n">
        <v>100</v>
      </c>
      <c r="N14" t="inlineStr">
        <is>
          <t>Stable</t>
        </is>
      </c>
      <c r="P14" t="inlineStr">
        <is>
          <t>snore tracking data.xlsx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12" customWidth="1" style="15" min="2" max="2"/>
    <col width="12" customWidth="1" style="15" min="3" max="3"/>
    <col width="12" customWidth="1" style="15" min="4" max="4"/>
    <col width="12" customWidth="1" style="15" min="5" max="5"/>
    <col width="12" customWidth="1" style="15" min="6" max="6"/>
    <col width="12" customWidth="1" style="15" min="7" max="7"/>
  </cols>
  <sheetData>
    <row r="1">
      <c r="A1" s="30" t="inlineStr">
        <is>
          <t>date</t>
        </is>
      </c>
      <c r="B1" s="30" t="inlineStr">
        <is>
          <t>meal</t>
        </is>
      </c>
      <c r="C1" s="30" t="inlineStr">
        <is>
          <t>item</t>
        </is>
      </c>
      <c r="D1" s="30" t="inlineStr">
        <is>
          <t>calories</t>
        </is>
      </c>
      <c r="E1" s="30" t="inlineStr">
        <is>
          <t>protein_g</t>
        </is>
      </c>
      <c r="F1" s="30" t="inlineStr">
        <is>
          <t>notes</t>
        </is>
      </c>
      <c r="G1" s="30" t="inlineStr">
        <is>
          <t>source</t>
        </is>
      </c>
    </row>
  </sheetData>
  <dataValidations count="2">
    <dataValidation sqref="B2:B2000" showDropDown="0" showInputMessage="0" showErrorMessage="0" allowBlank="1" type="list">
      <formula1>"Breakfast,Lunch,Dinner,Snack,Other"</formula1>
    </dataValidation>
    <dataValidation sqref="D2:E2000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12" customWidth="1" style="15" min="2" max="2"/>
    <col width="12" customWidth="1" style="15" min="3" max="3"/>
    <col width="12" customWidth="1" style="15" min="4" max="4"/>
    <col width="12" customWidth="1" style="15" min="5" max="5"/>
    <col width="15" customWidth="1" style="15" min="6" max="6"/>
    <col width="12" customWidth="1" style="15" min="7" max="7"/>
    <col width="21" customWidth="1" style="15" min="8" max="8"/>
    <col width="12" customWidth="1" style="15" min="9" max="9"/>
    <col width="14" customWidth="1" style="15" min="10" max="10"/>
    <col width="12" customWidth="1" style="15" min="11" max="11"/>
    <col width="12" customWidth="1" style="15" min="12" max="12"/>
  </cols>
  <sheetData>
    <row r="1">
      <c r="A1" s="30" t="inlineStr">
        <is>
          <t>start_date</t>
        </is>
      </c>
      <c r="B1" s="30" t="inlineStr">
        <is>
          <t>end_date</t>
        </is>
      </c>
      <c r="C1" s="30" t="inlineStr">
        <is>
          <t>body_part</t>
        </is>
      </c>
      <c r="D1" s="30" t="inlineStr">
        <is>
          <t>side</t>
        </is>
      </c>
      <c r="E1" s="30" t="inlineStr">
        <is>
          <t>injury</t>
        </is>
      </c>
      <c r="F1" s="30" t="inlineStr">
        <is>
          <t>severity_0_10</t>
        </is>
      </c>
      <c r="G1" s="30" t="inlineStr">
        <is>
          <t>pain_0_10</t>
        </is>
      </c>
      <c r="H1" s="30" t="inlineStr">
        <is>
          <t>function_limit_0_10</t>
        </is>
      </c>
      <c r="I1" s="30" t="inlineStr">
        <is>
          <t>status</t>
        </is>
      </c>
      <c r="J1" s="30" t="inlineStr">
        <is>
          <t>rehab_action</t>
        </is>
      </c>
      <c r="K1" s="30" t="inlineStr">
        <is>
          <t>notes</t>
        </is>
      </c>
      <c r="L1" s="30" t="inlineStr">
        <is>
          <t>source</t>
        </is>
      </c>
    </row>
  </sheetData>
  <dataValidations count="4">
    <dataValidation sqref="C2:C2000" showDropDown="0" showInputMessage="0" showErrorMessage="0" allowBlank="1" type="list">
      <formula1>"Toe/Foot,Ankle,Knee,Hip,Back,Shoulder,Elbow,Wrist/Hand,Neck,Other"</formula1>
    </dataValidation>
    <dataValidation sqref="D2:D2000" showDropDown="0" showInputMessage="0" showErrorMessage="0" allowBlank="1" type="list">
      <formula1>"Left,Right,Bilateral,NA"</formula1>
    </dataValidation>
    <dataValidation sqref="I2:I2000" showDropDown="0" showInputMessage="0" showErrorMessage="0" allowBlank="1" type="list">
      <formula1>"Active,Resolved,Flare,Chronic"</formula1>
    </dataValidation>
    <dataValidation sqref="F2:H2000" showDropDown="0" showInputMessage="0" showErrorMessage="0" allowBlank="1" type="decimal" operator="between">
      <formula1>0</formula1>
      <formula2>10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16" customWidth="1" style="15" min="2" max="2"/>
    <col width="17" customWidth="1" style="15" min="3" max="3"/>
  </cols>
  <sheetData>
    <row r="1">
      <c r="A1" s="30" t="inlineStr">
        <is>
          <t>date</t>
        </is>
      </c>
      <c r="B1" s="30" t="inlineStr">
        <is>
          <t>total_calories</t>
        </is>
      </c>
      <c r="C1" s="30" t="inlineStr">
        <is>
          <t>total_protein_g</t>
        </is>
      </c>
    </row>
    <row r="2">
      <c r="A2" s="31" t="n">
        <v>45627</v>
      </c>
      <c r="B2">
        <f>IF(A2="","",SUMIFS(tblNutrition[calories],tblNutrition[date],A2))</f>
        <v/>
      </c>
      <c r="C2">
        <f>IF(A2="","",SUMIFS(tblNutrition[protein_g],tblNutrition[date],A2))</f>
        <v/>
      </c>
    </row>
    <row r="3">
      <c r="A3" s="31" t="n">
        <v>46054</v>
      </c>
      <c r="B3">
        <f>IF(A3="","",SUMIFS(tblNutrition[calories],tblNutrition[date],A3))</f>
        <v/>
      </c>
      <c r="C3">
        <f>IF(A3="","",SUMIFS(tblNutrition[protein_g],tblNutrition[date],A3))</f>
        <v/>
      </c>
    </row>
    <row r="4">
      <c r="A4" s="31" t="n">
        <v>46056</v>
      </c>
      <c r="B4">
        <f>IF(A4="","",SUMIFS(tblNutrition[calories],tblNutrition[date],A4))</f>
        <v/>
      </c>
      <c r="C4">
        <f>IF(A4="","",SUMIFS(tblNutrition[protein_g],tblNutrition[date],A4))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21" customWidth="1" style="15" min="2" max="2"/>
    <col width="12" customWidth="1" style="15" min="3" max="3"/>
    <col width="14" customWidth="1" style="15" min="4" max="4"/>
    <col width="20" customWidth="1" style="15" min="5" max="5"/>
  </cols>
  <sheetData>
    <row r="1">
      <c r="A1" s="30" t="inlineStr">
        <is>
          <t>date</t>
        </is>
      </c>
      <c r="B1" s="30" t="inlineStr">
        <is>
          <t>active_injury_count</t>
        </is>
      </c>
      <c r="C1" s="30" t="inlineStr">
        <is>
          <t>max_pain</t>
        </is>
      </c>
      <c r="D1" s="30" t="inlineStr">
        <is>
          <t>max_severity</t>
        </is>
      </c>
      <c r="E1" s="30" t="inlineStr">
        <is>
          <t>max_function_limit</t>
        </is>
      </c>
    </row>
    <row r="2">
      <c r="A2" s="31" t="n">
        <v>45627</v>
      </c>
      <c r="B2">
        <f>IF(A2="","",COUNTIFS(tblInjuries[status],"Active",tblInjuries[start_date],"&lt;="&amp;A2,tblInjuries[end_date],"&gt;="&amp;A2))</f>
        <v/>
      </c>
      <c r="C2">
        <f>IF(A2="","",MAXIFS(tblInjuries[pain_0_10],tblInjuries[status],"Active",tblInjuries[start_date],"&lt;="&amp;A2,tblInjuries[end_date],"&gt;="&amp;A2))</f>
        <v/>
      </c>
      <c r="D2">
        <f>IF(A2="","",MAXIFS(tblInjuries[severity_0_10],tblInjuries[status],"Active",tblInjuries[start_date],"&lt;="&amp;A2,tblInjuries[end_date],"&gt;="&amp;A2))</f>
        <v/>
      </c>
      <c r="E2">
        <f>IF(A2="","",MAXIFS(tblInjuries[function_limit_0_10],tblInjuries[status],"Active",tblInjuries[start_date],"&lt;="&amp;A2,tblInjuries[end_date],"&gt;="&amp;A2))</f>
        <v/>
      </c>
    </row>
    <row r="3">
      <c r="A3" s="31" t="n">
        <v>46054</v>
      </c>
      <c r="B3">
        <f>IF(A3="","",COUNTIFS(tblInjuries[status],"Active",tblInjuries[start_date],"&lt;="&amp;A3,tblInjuries[end_date],"&gt;="&amp;A3))</f>
        <v/>
      </c>
      <c r="C3">
        <f>IF(A3="","",MAXIFS(tblInjuries[pain_0_10],tblInjuries[status],"Active",tblInjuries[start_date],"&lt;="&amp;A3,tblInjuries[end_date],"&gt;="&amp;A3))</f>
        <v/>
      </c>
      <c r="D3">
        <f>IF(A3="","",MAXIFS(tblInjuries[severity_0_10],tblInjuries[status],"Active",tblInjuries[start_date],"&lt;="&amp;A3,tblInjuries[end_date],"&gt;="&amp;A3))</f>
        <v/>
      </c>
      <c r="E3">
        <f>IF(A3="","",MAXIFS(tblInjuries[function_limit_0_10],tblInjuries[status],"Active",tblInjuries[start_date],"&lt;="&amp;A3,tblInjuries[end_date],"&gt;="&amp;A3))</f>
        <v/>
      </c>
    </row>
    <row r="4">
      <c r="A4" s="31" t="n">
        <v>46056</v>
      </c>
      <c r="B4">
        <f>IF(A4="","",COUNTIFS(tblInjuries[status],"Active",tblInjuries[start_date],"&lt;="&amp;A4,tblInjuries[end_date],"&gt;="&amp;A4))</f>
        <v/>
      </c>
      <c r="C4">
        <f>IF(A4="","",MAXIFS(tblInjuries[pain_0_10],tblInjuries[status],"Active",tblInjuries[start_date],"&lt;="&amp;A4,tblInjuries[end_date],"&gt;="&amp;A4))</f>
        <v/>
      </c>
      <c r="D4">
        <f>IF(A4="","",MAXIFS(tblInjuries[severity_0_10],tblInjuries[status],"Active",tblInjuries[start_date],"&lt;="&amp;A4,tblInjuries[end_date],"&gt;="&amp;A4))</f>
        <v/>
      </c>
      <c r="E4">
        <f>IF(A4="","",MAXIFS(tblInjuries[function_limit_0_10],tblInjuries[status],"Active",tblInjuries[start_date],"&lt;="&amp;A4,tblInjuries[end_date],"&gt;="&amp;A4))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2026-02-05T01:12:40Z</dcterms:created>
  <dcterms:modified xmlns:dcterms="http://purl.org/dc/terms/" xmlns:xsi="http://www.w3.org/2001/XMLSchema-instance" xsi:type="dcterms:W3CDTF">2026-03-05T21:46:46Z</dcterms:modified>
  <cp:lastModifiedBy>Vidal-Gadea, Andres</cp:lastModifiedBy>
</cp:coreProperties>
</file>